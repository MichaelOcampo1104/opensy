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任意截面OPENSEES低周往复分析\OpenSEES Section Analysis\"/>
    </mc:Choice>
  </mc:AlternateContent>
  <xr:revisionPtr revIDLastSave="0" documentId="13_ncr:1_{0302962D-7E0C-4FE7-A7E1-D8D553B47660}" xr6:coauthVersionLast="47" xr6:coauthVersionMax="47" xr10:uidLastSave="{00000000-0000-0000-0000-000000000000}"/>
  <bookViews>
    <workbookView xWindow="21705" yWindow="1245" windowWidth="27600" windowHeight="17460" xr2:uid="{00000000-000D-0000-FFFF-FFFF00000000}"/>
  </bookViews>
  <sheets>
    <sheet name="Result" sheetId="4" r:id="rId1"/>
    <sheet name="PMM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0" i="4" l="1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1"/>
      <color rgb="FF006100"/>
      <name val="新細明體"/>
      <family val="2"/>
      <charset val="136"/>
      <scheme val="minor"/>
    </font>
    <font>
      <sz val="11"/>
      <color rgb="FF9C0006"/>
      <name val="新細明體"/>
      <family val="2"/>
      <charset val="136"/>
      <scheme val="minor"/>
    </font>
    <font>
      <sz val="11"/>
      <color rgb="FF9C5700"/>
      <name val="新細明體"/>
      <family val="2"/>
      <charset val="136"/>
      <scheme val="minor"/>
    </font>
    <font>
      <sz val="11"/>
      <color rgb="FF3F3F76"/>
      <name val="新細明體"/>
      <family val="2"/>
      <charset val="136"/>
      <scheme val="minor"/>
    </font>
    <font>
      <b/>
      <sz val="11"/>
      <color rgb="FF3F3F3F"/>
      <name val="新細明體"/>
      <family val="2"/>
      <charset val="136"/>
      <scheme val="minor"/>
    </font>
    <font>
      <b/>
      <sz val="11"/>
      <color rgb="FFFA7D00"/>
      <name val="新細明體"/>
      <family val="2"/>
      <charset val="136"/>
      <scheme val="minor"/>
    </font>
    <font>
      <sz val="11"/>
      <color rgb="FFFA7D00"/>
      <name val="新細明體"/>
      <family val="2"/>
      <charset val="136"/>
      <scheme val="minor"/>
    </font>
    <font>
      <b/>
      <sz val="11"/>
      <color theme="0"/>
      <name val="新細明體"/>
      <family val="2"/>
      <charset val="136"/>
      <scheme val="minor"/>
    </font>
    <font>
      <sz val="11"/>
      <color rgb="FFFF0000"/>
      <name val="新細明體"/>
      <family val="2"/>
      <charset val="136"/>
      <scheme val="minor"/>
    </font>
    <font>
      <i/>
      <sz val="11"/>
      <color rgb="FF7F7F7F"/>
      <name val="新細明體"/>
      <family val="2"/>
      <charset val="136"/>
      <scheme val="minor"/>
    </font>
    <font>
      <b/>
      <sz val="11"/>
      <color theme="1"/>
      <name val="新細明體"/>
      <family val="2"/>
      <charset val="136"/>
      <scheme val="minor"/>
    </font>
    <font>
      <sz val="11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Axial force =625 kN</a:t>
            </a:r>
            <a:endParaRPr 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HK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Result!$B$1:$B$5000</c:f>
              <c:numCache>
                <c:formatCode>General</c:formatCode>
                <c:ptCount val="5000"/>
                <c:pt idx="0">
                  <c:v>4.9811899999999999E-2</c:v>
                </c:pt>
                <c:pt idx="1">
                  <c:v>9.9811899999999995E-2</c:v>
                </c:pt>
                <c:pt idx="2">
                  <c:v>0.149812</c:v>
                </c:pt>
                <c:pt idx="3">
                  <c:v>0.19981199999999999</c:v>
                </c:pt>
                <c:pt idx="4">
                  <c:v>0.24981200000000001</c:v>
                </c:pt>
                <c:pt idx="5">
                  <c:v>0.29981200000000002</c:v>
                </c:pt>
                <c:pt idx="6">
                  <c:v>0.34981200000000001</c:v>
                </c:pt>
                <c:pt idx="7">
                  <c:v>0.399812</c:v>
                </c:pt>
                <c:pt idx="8">
                  <c:v>0.44981199999999999</c:v>
                </c:pt>
                <c:pt idx="9">
                  <c:v>0.49981199999999998</c:v>
                </c:pt>
                <c:pt idx="10">
                  <c:v>0.54981199999999997</c:v>
                </c:pt>
                <c:pt idx="11">
                  <c:v>0.59981200000000001</c:v>
                </c:pt>
                <c:pt idx="12">
                  <c:v>0.64981199999999995</c:v>
                </c:pt>
                <c:pt idx="13">
                  <c:v>0.69981199999999999</c:v>
                </c:pt>
                <c:pt idx="14">
                  <c:v>0.74981200000000003</c:v>
                </c:pt>
                <c:pt idx="15">
                  <c:v>0.79981199999999997</c:v>
                </c:pt>
                <c:pt idx="16">
                  <c:v>0.84981200000000001</c:v>
                </c:pt>
                <c:pt idx="17">
                  <c:v>0.89981199999999995</c:v>
                </c:pt>
                <c:pt idx="18">
                  <c:v>0.94981199999999999</c:v>
                </c:pt>
                <c:pt idx="19">
                  <c:v>0.99981200000000003</c:v>
                </c:pt>
                <c:pt idx="20">
                  <c:v>1.0498099999999999</c:v>
                </c:pt>
                <c:pt idx="21">
                  <c:v>1.09981</c:v>
                </c:pt>
                <c:pt idx="22">
                  <c:v>1.14981</c:v>
                </c:pt>
                <c:pt idx="23">
                  <c:v>1.19981</c:v>
                </c:pt>
                <c:pt idx="24">
                  <c:v>1.2498100000000001</c:v>
                </c:pt>
                <c:pt idx="25">
                  <c:v>1.2998099999999999</c:v>
                </c:pt>
                <c:pt idx="26">
                  <c:v>1.34981</c:v>
                </c:pt>
                <c:pt idx="27">
                  <c:v>1.39981</c:v>
                </c:pt>
                <c:pt idx="28">
                  <c:v>1.44981</c:v>
                </c:pt>
                <c:pt idx="29">
                  <c:v>1.4998100000000001</c:v>
                </c:pt>
                <c:pt idx="30">
                  <c:v>1.5498099999999999</c:v>
                </c:pt>
                <c:pt idx="31">
                  <c:v>1.59981</c:v>
                </c:pt>
                <c:pt idx="32">
                  <c:v>1.64981</c:v>
                </c:pt>
                <c:pt idx="33">
                  <c:v>1.69981</c:v>
                </c:pt>
                <c:pt idx="34">
                  <c:v>1.7498100000000001</c:v>
                </c:pt>
                <c:pt idx="35">
                  <c:v>1.7998099999999999</c:v>
                </c:pt>
                <c:pt idx="36">
                  <c:v>1.84981</c:v>
                </c:pt>
                <c:pt idx="37">
                  <c:v>1.89981</c:v>
                </c:pt>
                <c:pt idx="38">
                  <c:v>1.94981</c:v>
                </c:pt>
                <c:pt idx="39">
                  <c:v>1.9998100000000001</c:v>
                </c:pt>
                <c:pt idx="40">
                  <c:v>2.0498099999999999</c:v>
                </c:pt>
                <c:pt idx="41">
                  <c:v>2.0998100000000002</c:v>
                </c:pt>
                <c:pt idx="42">
                  <c:v>2.14981</c:v>
                </c:pt>
                <c:pt idx="43">
                  <c:v>2.1998099999999998</c:v>
                </c:pt>
                <c:pt idx="44">
                  <c:v>2.2498100000000001</c:v>
                </c:pt>
                <c:pt idx="45">
                  <c:v>2.2998099999999999</c:v>
                </c:pt>
                <c:pt idx="46">
                  <c:v>2.3498100000000002</c:v>
                </c:pt>
                <c:pt idx="47">
                  <c:v>2.39981</c:v>
                </c:pt>
                <c:pt idx="48">
                  <c:v>2.4498099999999998</c:v>
                </c:pt>
                <c:pt idx="49">
                  <c:v>2.4998100000000001</c:v>
                </c:pt>
                <c:pt idx="50">
                  <c:v>2.5498099999999999</c:v>
                </c:pt>
                <c:pt idx="51">
                  <c:v>2.5998100000000002</c:v>
                </c:pt>
                <c:pt idx="52">
                  <c:v>2.64981</c:v>
                </c:pt>
                <c:pt idx="53">
                  <c:v>2.6998099999999998</c:v>
                </c:pt>
                <c:pt idx="54">
                  <c:v>2.7498100000000001</c:v>
                </c:pt>
                <c:pt idx="55">
                  <c:v>2.7998099999999999</c:v>
                </c:pt>
                <c:pt idx="56">
                  <c:v>2.8498100000000002</c:v>
                </c:pt>
                <c:pt idx="57">
                  <c:v>2.89981</c:v>
                </c:pt>
                <c:pt idx="58">
                  <c:v>2.9498099999999998</c:v>
                </c:pt>
                <c:pt idx="59">
                  <c:v>2.9998100000000001</c:v>
                </c:pt>
                <c:pt idx="60">
                  <c:v>3.0498099999999999</c:v>
                </c:pt>
                <c:pt idx="61">
                  <c:v>3.0998100000000002</c:v>
                </c:pt>
                <c:pt idx="62">
                  <c:v>3.14981</c:v>
                </c:pt>
                <c:pt idx="63">
                  <c:v>3.1998099999999998</c:v>
                </c:pt>
                <c:pt idx="64">
                  <c:v>3.2498100000000001</c:v>
                </c:pt>
                <c:pt idx="65">
                  <c:v>3.2998099999999999</c:v>
                </c:pt>
                <c:pt idx="66">
                  <c:v>3.3498100000000002</c:v>
                </c:pt>
                <c:pt idx="67">
                  <c:v>3.39981</c:v>
                </c:pt>
                <c:pt idx="68">
                  <c:v>3.4498099999999998</c:v>
                </c:pt>
                <c:pt idx="69">
                  <c:v>3.4998100000000001</c:v>
                </c:pt>
                <c:pt idx="70">
                  <c:v>3.5498099999999999</c:v>
                </c:pt>
                <c:pt idx="71">
                  <c:v>3.5998100000000002</c:v>
                </c:pt>
                <c:pt idx="72">
                  <c:v>3.64981</c:v>
                </c:pt>
                <c:pt idx="73">
                  <c:v>3.6998099999999998</c:v>
                </c:pt>
                <c:pt idx="74">
                  <c:v>3.7498100000000001</c:v>
                </c:pt>
                <c:pt idx="75">
                  <c:v>3.7998099999999999</c:v>
                </c:pt>
                <c:pt idx="76">
                  <c:v>3.8498100000000002</c:v>
                </c:pt>
                <c:pt idx="77">
                  <c:v>3.89981</c:v>
                </c:pt>
                <c:pt idx="78">
                  <c:v>3.9498099999999998</c:v>
                </c:pt>
                <c:pt idx="79">
                  <c:v>3.9998100000000001</c:v>
                </c:pt>
                <c:pt idx="80">
                  <c:v>4.0498099999999999</c:v>
                </c:pt>
                <c:pt idx="81">
                  <c:v>4.0998099999999997</c:v>
                </c:pt>
                <c:pt idx="82">
                  <c:v>4.1498100000000004</c:v>
                </c:pt>
                <c:pt idx="83">
                  <c:v>4.1998100000000003</c:v>
                </c:pt>
                <c:pt idx="84">
                  <c:v>4.2498100000000001</c:v>
                </c:pt>
                <c:pt idx="85">
                  <c:v>4.2998099999999999</c:v>
                </c:pt>
                <c:pt idx="86">
                  <c:v>4.3498099999999997</c:v>
                </c:pt>
                <c:pt idx="87">
                  <c:v>4.3998100000000004</c:v>
                </c:pt>
                <c:pt idx="88">
                  <c:v>4.4498100000000003</c:v>
                </c:pt>
                <c:pt idx="89">
                  <c:v>4.4998100000000001</c:v>
                </c:pt>
                <c:pt idx="90">
                  <c:v>4.5498099999999999</c:v>
                </c:pt>
                <c:pt idx="91">
                  <c:v>4.5998099999999997</c:v>
                </c:pt>
                <c:pt idx="92">
                  <c:v>4.6498100000000004</c:v>
                </c:pt>
                <c:pt idx="93">
                  <c:v>4.6998100000000003</c:v>
                </c:pt>
                <c:pt idx="94">
                  <c:v>4.7498100000000001</c:v>
                </c:pt>
                <c:pt idx="95">
                  <c:v>4.7998099999999999</c:v>
                </c:pt>
                <c:pt idx="96">
                  <c:v>4.8498099999999997</c:v>
                </c:pt>
                <c:pt idx="97">
                  <c:v>4.8998100000000004</c:v>
                </c:pt>
                <c:pt idx="98">
                  <c:v>4.9498100000000003</c:v>
                </c:pt>
                <c:pt idx="99">
                  <c:v>4.9998100000000001</c:v>
                </c:pt>
                <c:pt idx="100">
                  <c:v>4.8998100000000004</c:v>
                </c:pt>
                <c:pt idx="101">
                  <c:v>4.7998099999999999</c:v>
                </c:pt>
                <c:pt idx="102">
                  <c:v>4.6998100000000003</c:v>
                </c:pt>
                <c:pt idx="103">
                  <c:v>4.5998099999999997</c:v>
                </c:pt>
                <c:pt idx="104">
                  <c:v>4.4998100000000001</c:v>
                </c:pt>
                <c:pt idx="105">
                  <c:v>4.3998100000000004</c:v>
                </c:pt>
                <c:pt idx="106">
                  <c:v>4.2998099999999999</c:v>
                </c:pt>
                <c:pt idx="107">
                  <c:v>4.1998100000000003</c:v>
                </c:pt>
                <c:pt idx="108">
                  <c:v>4.0998099999999997</c:v>
                </c:pt>
                <c:pt idx="109">
                  <c:v>3.9998100000000001</c:v>
                </c:pt>
                <c:pt idx="110">
                  <c:v>3.89981</c:v>
                </c:pt>
                <c:pt idx="111">
                  <c:v>3.7998099999999999</c:v>
                </c:pt>
                <c:pt idx="112">
                  <c:v>3.6998099999999998</c:v>
                </c:pt>
                <c:pt idx="113">
                  <c:v>3.5998100000000002</c:v>
                </c:pt>
                <c:pt idx="114">
                  <c:v>3.4998100000000001</c:v>
                </c:pt>
                <c:pt idx="115">
                  <c:v>3.39981</c:v>
                </c:pt>
                <c:pt idx="116">
                  <c:v>3.2998099999999999</c:v>
                </c:pt>
                <c:pt idx="117">
                  <c:v>3.1998099999999998</c:v>
                </c:pt>
                <c:pt idx="118">
                  <c:v>3.0998100000000002</c:v>
                </c:pt>
                <c:pt idx="119">
                  <c:v>2.9998100000000001</c:v>
                </c:pt>
                <c:pt idx="120">
                  <c:v>2.89981</c:v>
                </c:pt>
                <c:pt idx="121">
                  <c:v>2.7998099999999999</c:v>
                </c:pt>
                <c:pt idx="122">
                  <c:v>2.6998099999999998</c:v>
                </c:pt>
                <c:pt idx="123">
                  <c:v>2.5998100000000002</c:v>
                </c:pt>
                <c:pt idx="124">
                  <c:v>2.4998100000000001</c:v>
                </c:pt>
                <c:pt idx="125">
                  <c:v>2.39981</c:v>
                </c:pt>
                <c:pt idx="126">
                  <c:v>2.2998099999999999</c:v>
                </c:pt>
                <c:pt idx="127">
                  <c:v>2.1998099999999998</c:v>
                </c:pt>
                <c:pt idx="128">
                  <c:v>2.0998100000000002</c:v>
                </c:pt>
                <c:pt idx="129">
                  <c:v>1.9998100000000001</c:v>
                </c:pt>
                <c:pt idx="130">
                  <c:v>1.89981</c:v>
                </c:pt>
                <c:pt idx="131">
                  <c:v>1.7998099999999999</c:v>
                </c:pt>
                <c:pt idx="132">
                  <c:v>1.69981</c:v>
                </c:pt>
                <c:pt idx="133">
                  <c:v>1.59981</c:v>
                </c:pt>
                <c:pt idx="134">
                  <c:v>1.4998100000000001</c:v>
                </c:pt>
                <c:pt idx="135">
                  <c:v>1.39981</c:v>
                </c:pt>
                <c:pt idx="136">
                  <c:v>1.2998099999999999</c:v>
                </c:pt>
                <c:pt idx="137">
                  <c:v>1.19981</c:v>
                </c:pt>
                <c:pt idx="138">
                  <c:v>1.09981</c:v>
                </c:pt>
                <c:pt idx="139">
                  <c:v>0.99981200000000003</c:v>
                </c:pt>
                <c:pt idx="140">
                  <c:v>0.89981199999999995</c:v>
                </c:pt>
                <c:pt idx="141">
                  <c:v>0.79981199999999997</c:v>
                </c:pt>
                <c:pt idx="142">
                  <c:v>0.69981199999999999</c:v>
                </c:pt>
                <c:pt idx="143">
                  <c:v>0.59981200000000001</c:v>
                </c:pt>
                <c:pt idx="144">
                  <c:v>0.49981199999999998</c:v>
                </c:pt>
                <c:pt idx="145">
                  <c:v>0.399812</c:v>
                </c:pt>
                <c:pt idx="146">
                  <c:v>0.29981200000000002</c:v>
                </c:pt>
                <c:pt idx="147">
                  <c:v>0.19981199999999999</c:v>
                </c:pt>
                <c:pt idx="148">
                  <c:v>9.9811899999999995E-2</c:v>
                </c:pt>
                <c:pt idx="149">
                  <c:v>-1.8810300000000001E-4</c:v>
                </c:pt>
                <c:pt idx="150">
                  <c:v>-0.100188</c:v>
                </c:pt>
                <c:pt idx="151">
                  <c:v>-0.200188</c:v>
                </c:pt>
                <c:pt idx="152">
                  <c:v>-0.30018800000000001</c:v>
                </c:pt>
                <c:pt idx="153">
                  <c:v>-0.40018799999999999</c:v>
                </c:pt>
                <c:pt idx="154">
                  <c:v>-0.50018799999999997</c:v>
                </c:pt>
                <c:pt idx="155">
                  <c:v>-0.60018800000000005</c:v>
                </c:pt>
                <c:pt idx="156">
                  <c:v>-0.70018800000000003</c:v>
                </c:pt>
                <c:pt idx="157">
                  <c:v>-0.80018800000000001</c:v>
                </c:pt>
                <c:pt idx="158">
                  <c:v>-0.90018799999999999</c:v>
                </c:pt>
                <c:pt idx="159">
                  <c:v>-1.0001899999999999</c:v>
                </c:pt>
                <c:pt idx="160">
                  <c:v>-1.10019</c:v>
                </c:pt>
                <c:pt idx="161">
                  <c:v>-1.2001900000000001</c:v>
                </c:pt>
                <c:pt idx="162">
                  <c:v>-1.30019</c:v>
                </c:pt>
                <c:pt idx="163">
                  <c:v>-1.40019</c:v>
                </c:pt>
                <c:pt idx="164">
                  <c:v>-1.5001899999999999</c:v>
                </c:pt>
                <c:pt idx="165">
                  <c:v>-1.60019</c:v>
                </c:pt>
                <c:pt idx="166">
                  <c:v>-1.7001900000000001</c:v>
                </c:pt>
                <c:pt idx="167">
                  <c:v>-1.80019</c:v>
                </c:pt>
                <c:pt idx="168">
                  <c:v>-1.90019</c:v>
                </c:pt>
                <c:pt idx="169">
                  <c:v>-2.0001899999999999</c:v>
                </c:pt>
                <c:pt idx="170">
                  <c:v>-2.10019</c:v>
                </c:pt>
                <c:pt idx="171">
                  <c:v>-2.2001900000000001</c:v>
                </c:pt>
                <c:pt idx="172">
                  <c:v>-2.3001900000000002</c:v>
                </c:pt>
                <c:pt idx="173">
                  <c:v>-2.4001899999999998</c:v>
                </c:pt>
                <c:pt idx="174">
                  <c:v>-2.5001899999999999</c:v>
                </c:pt>
                <c:pt idx="175">
                  <c:v>-2.60019</c:v>
                </c:pt>
                <c:pt idx="176">
                  <c:v>-2.7001900000000001</c:v>
                </c:pt>
                <c:pt idx="177">
                  <c:v>-2.8001900000000002</c:v>
                </c:pt>
                <c:pt idx="178">
                  <c:v>-2.9001899999999998</c:v>
                </c:pt>
                <c:pt idx="179">
                  <c:v>-3.0001899999999999</c:v>
                </c:pt>
                <c:pt idx="180">
                  <c:v>-3.10019</c:v>
                </c:pt>
                <c:pt idx="181">
                  <c:v>-3.2001900000000001</c:v>
                </c:pt>
                <c:pt idx="182">
                  <c:v>-3.3001900000000002</c:v>
                </c:pt>
                <c:pt idx="183">
                  <c:v>-3.4001899999999998</c:v>
                </c:pt>
                <c:pt idx="184">
                  <c:v>-3.5001899999999999</c:v>
                </c:pt>
                <c:pt idx="185">
                  <c:v>-3.60019</c:v>
                </c:pt>
                <c:pt idx="186">
                  <c:v>-3.7001900000000001</c:v>
                </c:pt>
                <c:pt idx="187">
                  <c:v>-3.8001900000000002</c:v>
                </c:pt>
                <c:pt idx="188">
                  <c:v>-3.9001899999999998</c:v>
                </c:pt>
                <c:pt idx="189">
                  <c:v>-4.0001899999999999</c:v>
                </c:pt>
                <c:pt idx="190">
                  <c:v>-4.1001899999999996</c:v>
                </c:pt>
                <c:pt idx="191">
                  <c:v>-4.2001900000000001</c:v>
                </c:pt>
                <c:pt idx="192">
                  <c:v>-4.3001899999999997</c:v>
                </c:pt>
                <c:pt idx="193">
                  <c:v>-4.4001900000000003</c:v>
                </c:pt>
                <c:pt idx="194">
                  <c:v>-4.5001899999999999</c:v>
                </c:pt>
                <c:pt idx="195">
                  <c:v>-4.6001899999999996</c:v>
                </c:pt>
                <c:pt idx="196">
                  <c:v>-4.7001900000000001</c:v>
                </c:pt>
                <c:pt idx="197">
                  <c:v>-4.8001899999999997</c:v>
                </c:pt>
                <c:pt idx="198">
                  <c:v>-4.9001900000000003</c:v>
                </c:pt>
                <c:pt idx="199">
                  <c:v>-5.0001899999999999</c:v>
                </c:pt>
                <c:pt idx="200">
                  <c:v>-4.8501899999999996</c:v>
                </c:pt>
                <c:pt idx="201">
                  <c:v>-4.7001900000000001</c:v>
                </c:pt>
                <c:pt idx="202">
                  <c:v>-4.5501899999999997</c:v>
                </c:pt>
                <c:pt idx="203">
                  <c:v>-4.4001900000000003</c:v>
                </c:pt>
                <c:pt idx="204">
                  <c:v>-4.2501899999999999</c:v>
                </c:pt>
                <c:pt idx="205">
                  <c:v>-4.1001899999999996</c:v>
                </c:pt>
                <c:pt idx="206">
                  <c:v>-3.9501900000000001</c:v>
                </c:pt>
                <c:pt idx="207">
                  <c:v>-3.8001900000000002</c:v>
                </c:pt>
                <c:pt idx="208">
                  <c:v>-3.6501899999999998</c:v>
                </c:pt>
                <c:pt idx="209">
                  <c:v>-3.5001899999999999</c:v>
                </c:pt>
                <c:pt idx="210">
                  <c:v>-3.35019</c:v>
                </c:pt>
                <c:pt idx="211">
                  <c:v>-3.2001900000000001</c:v>
                </c:pt>
                <c:pt idx="212">
                  <c:v>-3.0501900000000002</c:v>
                </c:pt>
                <c:pt idx="213">
                  <c:v>-2.9001899999999998</c:v>
                </c:pt>
                <c:pt idx="214">
                  <c:v>-2.7501899999999999</c:v>
                </c:pt>
                <c:pt idx="215">
                  <c:v>-2.60019</c:v>
                </c:pt>
                <c:pt idx="216">
                  <c:v>-2.4501900000000001</c:v>
                </c:pt>
                <c:pt idx="217">
                  <c:v>-2.3001900000000002</c:v>
                </c:pt>
                <c:pt idx="218">
                  <c:v>-2.1501899999999998</c:v>
                </c:pt>
                <c:pt idx="219">
                  <c:v>-2.0001899999999999</c:v>
                </c:pt>
                <c:pt idx="220">
                  <c:v>-1.85019</c:v>
                </c:pt>
                <c:pt idx="221">
                  <c:v>-1.7001900000000001</c:v>
                </c:pt>
                <c:pt idx="222">
                  <c:v>-1.55019</c:v>
                </c:pt>
                <c:pt idx="223">
                  <c:v>-1.40019</c:v>
                </c:pt>
                <c:pt idx="224">
                  <c:v>-1.2501899999999999</c:v>
                </c:pt>
                <c:pt idx="225">
                  <c:v>-1.10019</c:v>
                </c:pt>
                <c:pt idx="226">
                  <c:v>-0.95018800000000003</c:v>
                </c:pt>
                <c:pt idx="227">
                  <c:v>-0.80018800000000001</c:v>
                </c:pt>
                <c:pt idx="228">
                  <c:v>-0.65018799999999999</c:v>
                </c:pt>
                <c:pt idx="229">
                  <c:v>-0.50018799999999997</c:v>
                </c:pt>
                <c:pt idx="230">
                  <c:v>-0.350188</c:v>
                </c:pt>
                <c:pt idx="231">
                  <c:v>-0.200188</c:v>
                </c:pt>
                <c:pt idx="232">
                  <c:v>-5.0188099999999999E-2</c:v>
                </c:pt>
                <c:pt idx="233">
                  <c:v>9.9811899999999995E-2</c:v>
                </c:pt>
                <c:pt idx="234">
                  <c:v>0.24981200000000001</c:v>
                </c:pt>
                <c:pt idx="235">
                  <c:v>0.399812</c:v>
                </c:pt>
                <c:pt idx="236">
                  <c:v>0.54981199999999997</c:v>
                </c:pt>
                <c:pt idx="237">
                  <c:v>0.69981199999999999</c:v>
                </c:pt>
                <c:pt idx="238">
                  <c:v>0.84981200000000001</c:v>
                </c:pt>
                <c:pt idx="239">
                  <c:v>0.99981200000000003</c:v>
                </c:pt>
                <c:pt idx="240">
                  <c:v>1.14981</c:v>
                </c:pt>
                <c:pt idx="241">
                  <c:v>1.2998099999999999</c:v>
                </c:pt>
                <c:pt idx="242">
                  <c:v>1.44981</c:v>
                </c:pt>
                <c:pt idx="243">
                  <c:v>1.59981</c:v>
                </c:pt>
                <c:pt idx="244">
                  <c:v>1.7498100000000001</c:v>
                </c:pt>
                <c:pt idx="245">
                  <c:v>1.89981</c:v>
                </c:pt>
                <c:pt idx="246">
                  <c:v>2.0498099999999999</c:v>
                </c:pt>
                <c:pt idx="247">
                  <c:v>2.1998099999999998</c:v>
                </c:pt>
                <c:pt idx="248">
                  <c:v>2.3498100000000002</c:v>
                </c:pt>
                <c:pt idx="249">
                  <c:v>2.4998100000000001</c:v>
                </c:pt>
                <c:pt idx="250">
                  <c:v>2.64981</c:v>
                </c:pt>
                <c:pt idx="251">
                  <c:v>2.7998099999999999</c:v>
                </c:pt>
                <c:pt idx="252">
                  <c:v>2.9498099999999998</c:v>
                </c:pt>
                <c:pt idx="253">
                  <c:v>3.0998100000000002</c:v>
                </c:pt>
                <c:pt idx="254">
                  <c:v>3.2498100000000001</c:v>
                </c:pt>
                <c:pt idx="255">
                  <c:v>3.39981</c:v>
                </c:pt>
                <c:pt idx="256">
                  <c:v>3.5498099999999999</c:v>
                </c:pt>
                <c:pt idx="257">
                  <c:v>3.6998099999999998</c:v>
                </c:pt>
                <c:pt idx="258">
                  <c:v>3.8498100000000002</c:v>
                </c:pt>
                <c:pt idx="259">
                  <c:v>3.9998100000000001</c:v>
                </c:pt>
                <c:pt idx="260">
                  <c:v>4.1498100000000004</c:v>
                </c:pt>
                <c:pt idx="261">
                  <c:v>4.2998099999999999</c:v>
                </c:pt>
                <c:pt idx="262">
                  <c:v>4.4498100000000003</c:v>
                </c:pt>
                <c:pt idx="263">
                  <c:v>4.5998099999999997</c:v>
                </c:pt>
                <c:pt idx="264">
                  <c:v>4.7498100000000001</c:v>
                </c:pt>
                <c:pt idx="265">
                  <c:v>4.8998100000000004</c:v>
                </c:pt>
                <c:pt idx="266">
                  <c:v>5.0498099999999999</c:v>
                </c:pt>
                <c:pt idx="267">
                  <c:v>5.1998100000000003</c:v>
                </c:pt>
                <c:pt idx="268">
                  <c:v>5.3498099999999997</c:v>
                </c:pt>
                <c:pt idx="269">
                  <c:v>5.4998100000000001</c:v>
                </c:pt>
                <c:pt idx="270">
                  <c:v>5.6498100000000004</c:v>
                </c:pt>
                <c:pt idx="271">
                  <c:v>5.7998099999999999</c:v>
                </c:pt>
                <c:pt idx="272">
                  <c:v>5.9498100000000003</c:v>
                </c:pt>
                <c:pt idx="273">
                  <c:v>6.0998099999999997</c:v>
                </c:pt>
                <c:pt idx="274">
                  <c:v>6.2498100000000001</c:v>
                </c:pt>
                <c:pt idx="275">
                  <c:v>6.3998100000000004</c:v>
                </c:pt>
                <c:pt idx="276">
                  <c:v>6.5498099999999999</c:v>
                </c:pt>
                <c:pt idx="277">
                  <c:v>6.6998100000000003</c:v>
                </c:pt>
                <c:pt idx="278">
                  <c:v>6.8498099999999997</c:v>
                </c:pt>
                <c:pt idx="279">
                  <c:v>6.9998100000000001</c:v>
                </c:pt>
                <c:pt idx="280">
                  <c:v>7.1498100000000004</c:v>
                </c:pt>
                <c:pt idx="281">
                  <c:v>7.2998099999999999</c:v>
                </c:pt>
                <c:pt idx="282">
                  <c:v>7.4498100000000003</c:v>
                </c:pt>
                <c:pt idx="283">
                  <c:v>7.5998099999999997</c:v>
                </c:pt>
                <c:pt idx="284">
                  <c:v>7.7498100000000001</c:v>
                </c:pt>
                <c:pt idx="285">
                  <c:v>7.8998100000000004</c:v>
                </c:pt>
                <c:pt idx="286">
                  <c:v>8.0498100000000008</c:v>
                </c:pt>
                <c:pt idx="287">
                  <c:v>8.1998099999999994</c:v>
                </c:pt>
                <c:pt idx="288">
                  <c:v>8.3498099999999997</c:v>
                </c:pt>
                <c:pt idx="289">
                  <c:v>8.4998100000000001</c:v>
                </c:pt>
                <c:pt idx="290">
                  <c:v>8.6498100000000004</c:v>
                </c:pt>
                <c:pt idx="291">
                  <c:v>8.7998100000000008</c:v>
                </c:pt>
                <c:pt idx="292">
                  <c:v>8.9498099999999994</c:v>
                </c:pt>
                <c:pt idx="293">
                  <c:v>9.0998099999999997</c:v>
                </c:pt>
                <c:pt idx="294">
                  <c:v>9.2498100000000001</c:v>
                </c:pt>
                <c:pt idx="295">
                  <c:v>9.3998100000000004</c:v>
                </c:pt>
                <c:pt idx="296">
                  <c:v>9.5498100000000008</c:v>
                </c:pt>
                <c:pt idx="297">
                  <c:v>9.6998099999999994</c:v>
                </c:pt>
                <c:pt idx="298">
                  <c:v>9.8498099999999997</c:v>
                </c:pt>
                <c:pt idx="299">
                  <c:v>9.9998100000000001</c:v>
                </c:pt>
                <c:pt idx="300">
                  <c:v>9.7998100000000008</c:v>
                </c:pt>
                <c:pt idx="301">
                  <c:v>9.5998099999999997</c:v>
                </c:pt>
                <c:pt idx="302">
                  <c:v>9.3998100000000004</c:v>
                </c:pt>
                <c:pt idx="303">
                  <c:v>9.1998099999999994</c:v>
                </c:pt>
                <c:pt idx="304">
                  <c:v>8.9998100000000001</c:v>
                </c:pt>
                <c:pt idx="305">
                  <c:v>8.7998100000000008</c:v>
                </c:pt>
                <c:pt idx="306">
                  <c:v>8.5998099999999997</c:v>
                </c:pt>
                <c:pt idx="307">
                  <c:v>8.3998100000000004</c:v>
                </c:pt>
                <c:pt idx="308">
                  <c:v>8.1998099999999994</c:v>
                </c:pt>
                <c:pt idx="309">
                  <c:v>7.9998100000000001</c:v>
                </c:pt>
                <c:pt idx="310">
                  <c:v>7.7998099999999999</c:v>
                </c:pt>
                <c:pt idx="311">
                  <c:v>7.5998099999999997</c:v>
                </c:pt>
                <c:pt idx="312">
                  <c:v>7.3998100000000004</c:v>
                </c:pt>
                <c:pt idx="313">
                  <c:v>7.1998100000000003</c:v>
                </c:pt>
                <c:pt idx="314">
                  <c:v>6.9998100000000001</c:v>
                </c:pt>
                <c:pt idx="315">
                  <c:v>6.7998099999999999</c:v>
                </c:pt>
                <c:pt idx="316">
                  <c:v>6.5998099999999997</c:v>
                </c:pt>
                <c:pt idx="317">
                  <c:v>6.3998100000000004</c:v>
                </c:pt>
                <c:pt idx="318">
                  <c:v>6.1998100000000003</c:v>
                </c:pt>
                <c:pt idx="319">
                  <c:v>5.9998100000000001</c:v>
                </c:pt>
                <c:pt idx="320">
                  <c:v>5.7998099999999999</c:v>
                </c:pt>
                <c:pt idx="321">
                  <c:v>5.5998099999999997</c:v>
                </c:pt>
                <c:pt idx="322">
                  <c:v>5.3998100000000004</c:v>
                </c:pt>
                <c:pt idx="323">
                  <c:v>5.1998100000000003</c:v>
                </c:pt>
                <c:pt idx="324">
                  <c:v>4.9998100000000001</c:v>
                </c:pt>
                <c:pt idx="325">
                  <c:v>4.7998099999999999</c:v>
                </c:pt>
                <c:pt idx="326">
                  <c:v>4.5998099999999997</c:v>
                </c:pt>
                <c:pt idx="327">
                  <c:v>4.3998100000000004</c:v>
                </c:pt>
                <c:pt idx="328">
                  <c:v>4.1998100000000003</c:v>
                </c:pt>
                <c:pt idx="329">
                  <c:v>3.9998100000000001</c:v>
                </c:pt>
                <c:pt idx="330">
                  <c:v>3.7998099999999999</c:v>
                </c:pt>
                <c:pt idx="331">
                  <c:v>3.5998100000000002</c:v>
                </c:pt>
                <c:pt idx="332">
                  <c:v>3.39981</c:v>
                </c:pt>
                <c:pt idx="333">
                  <c:v>3.1998099999999998</c:v>
                </c:pt>
                <c:pt idx="334">
                  <c:v>2.9998100000000001</c:v>
                </c:pt>
                <c:pt idx="335">
                  <c:v>2.7998099999999999</c:v>
                </c:pt>
                <c:pt idx="336">
                  <c:v>2.5998100000000002</c:v>
                </c:pt>
                <c:pt idx="337">
                  <c:v>2.39981</c:v>
                </c:pt>
                <c:pt idx="338">
                  <c:v>2.1998099999999998</c:v>
                </c:pt>
                <c:pt idx="339">
                  <c:v>1.9998100000000001</c:v>
                </c:pt>
                <c:pt idx="340">
                  <c:v>1.7998099999999999</c:v>
                </c:pt>
                <c:pt idx="341">
                  <c:v>1.59981</c:v>
                </c:pt>
                <c:pt idx="342">
                  <c:v>1.39981</c:v>
                </c:pt>
                <c:pt idx="343">
                  <c:v>1.19981</c:v>
                </c:pt>
                <c:pt idx="344">
                  <c:v>0.99981200000000003</c:v>
                </c:pt>
                <c:pt idx="345">
                  <c:v>0.79981199999999997</c:v>
                </c:pt>
                <c:pt idx="346">
                  <c:v>0.59981200000000001</c:v>
                </c:pt>
                <c:pt idx="347">
                  <c:v>0.399812</c:v>
                </c:pt>
                <c:pt idx="348">
                  <c:v>0.19981199999999999</c:v>
                </c:pt>
                <c:pt idx="349">
                  <c:v>-1.8810300000000001E-4</c:v>
                </c:pt>
                <c:pt idx="350">
                  <c:v>-0.200188</c:v>
                </c:pt>
                <c:pt idx="351">
                  <c:v>-0.40018799999999999</c:v>
                </c:pt>
                <c:pt idx="352">
                  <c:v>-0.60018800000000005</c:v>
                </c:pt>
                <c:pt idx="353">
                  <c:v>-0.80018800000000001</c:v>
                </c:pt>
                <c:pt idx="354">
                  <c:v>-1.0001899999999999</c:v>
                </c:pt>
                <c:pt idx="355">
                  <c:v>-1.2001900000000001</c:v>
                </c:pt>
                <c:pt idx="356">
                  <c:v>-1.40019</c:v>
                </c:pt>
                <c:pt idx="357">
                  <c:v>-1.60019</c:v>
                </c:pt>
                <c:pt idx="358">
                  <c:v>-1.80019</c:v>
                </c:pt>
                <c:pt idx="359">
                  <c:v>-2.0001899999999999</c:v>
                </c:pt>
                <c:pt idx="360">
                  <c:v>-2.2001900000000001</c:v>
                </c:pt>
                <c:pt idx="361">
                  <c:v>-2.4001899999999998</c:v>
                </c:pt>
                <c:pt idx="362">
                  <c:v>-2.60019</c:v>
                </c:pt>
                <c:pt idx="363">
                  <c:v>-2.8001900000000002</c:v>
                </c:pt>
                <c:pt idx="364">
                  <c:v>-3.0001899999999999</c:v>
                </c:pt>
                <c:pt idx="365">
                  <c:v>-3.2001900000000001</c:v>
                </c:pt>
                <c:pt idx="366">
                  <c:v>-3.4001899999999998</c:v>
                </c:pt>
                <c:pt idx="367">
                  <c:v>-3.60019</c:v>
                </c:pt>
                <c:pt idx="368">
                  <c:v>-3.8001900000000002</c:v>
                </c:pt>
                <c:pt idx="369">
                  <c:v>-4.0001899999999999</c:v>
                </c:pt>
                <c:pt idx="370">
                  <c:v>-4.2001900000000001</c:v>
                </c:pt>
                <c:pt idx="371">
                  <c:v>-4.4001900000000003</c:v>
                </c:pt>
                <c:pt idx="372">
                  <c:v>-4.6001899999999996</c:v>
                </c:pt>
                <c:pt idx="373">
                  <c:v>-4.8001899999999997</c:v>
                </c:pt>
                <c:pt idx="374">
                  <c:v>-5.0001899999999999</c:v>
                </c:pt>
                <c:pt idx="375">
                  <c:v>-5.2001900000000001</c:v>
                </c:pt>
                <c:pt idx="376">
                  <c:v>-5.4001900000000003</c:v>
                </c:pt>
                <c:pt idx="377">
                  <c:v>-5.6001899999999996</c:v>
                </c:pt>
                <c:pt idx="378">
                  <c:v>-5.8001899999999997</c:v>
                </c:pt>
                <c:pt idx="379">
                  <c:v>-6.0001899999999999</c:v>
                </c:pt>
                <c:pt idx="380">
                  <c:v>-6.2001900000000001</c:v>
                </c:pt>
                <c:pt idx="381">
                  <c:v>-6.4001900000000003</c:v>
                </c:pt>
                <c:pt idx="382">
                  <c:v>-6.6001899999999996</c:v>
                </c:pt>
                <c:pt idx="383">
                  <c:v>-6.8001899999999997</c:v>
                </c:pt>
                <c:pt idx="384">
                  <c:v>-7.0001899999999999</c:v>
                </c:pt>
                <c:pt idx="385">
                  <c:v>-7.2001900000000001</c:v>
                </c:pt>
                <c:pt idx="386">
                  <c:v>-7.4001900000000003</c:v>
                </c:pt>
                <c:pt idx="387">
                  <c:v>-7.6001899999999996</c:v>
                </c:pt>
                <c:pt idx="388">
                  <c:v>-7.8001899999999997</c:v>
                </c:pt>
                <c:pt idx="389">
                  <c:v>-8.0001899999999999</c:v>
                </c:pt>
                <c:pt idx="390">
                  <c:v>-8.2001899999999992</c:v>
                </c:pt>
                <c:pt idx="391">
                  <c:v>-8.4001900000000003</c:v>
                </c:pt>
                <c:pt idx="392">
                  <c:v>-8.6001899999999996</c:v>
                </c:pt>
                <c:pt idx="393">
                  <c:v>-8.8001900000000006</c:v>
                </c:pt>
                <c:pt idx="394">
                  <c:v>-9.0001899999999999</c:v>
                </c:pt>
                <c:pt idx="395">
                  <c:v>-9.2001899999999992</c:v>
                </c:pt>
                <c:pt idx="396">
                  <c:v>-9.4001900000000003</c:v>
                </c:pt>
                <c:pt idx="397">
                  <c:v>-9.6001899999999996</c:v>
                </c:pt>
                <c:pt idx="398">
                  <c:v>-9.8001900000000006</c:v>
                </c:pt>
                <c:pt idx="399">
                  <c:v>-10.0002</c:v>
                </c:pt>
                <c:pt idx="400">
                  <c:v>-9.7501899999999999</c:v>
                </c:pt>
                <c:pt idx="401">
                  <c:v>-9.5001899999999999</c:v>
                </c:pt>
                <c:pt idx="402">
                  <c:v>-9.2501899999999999</c:v>
                </c:pt>
                <c:pt idx="403">
                  <c:v>-9.0001899999999999</c:v>
                </c:pt>
                <c:pt idx="404">
                  <c:v>-8.7501899999999999</c:v>
                </c:pt>
                <c:pt idx="405">
                  <c:v>-8.5001899999999999</c:v>
                </c:pt>
                <c:pt idx="406">
                  <c:v>-8.2501899999999999</c:v>
                </c:pt>
                <c:pt idx="407">
                  <c:v>-8.0001899999999999</c:v>
                </c:pt>
                <c:pt idx="408">
                  <c:v>-7.7501899999999999</c:v>
                </c:pt>
                <c:pt idx="409">
                  <c:v>-7.5001899999999999</c:v>
                </c:pt>
                <c:pt idx="410">
                  <c:v>-7.2501899999999999</c:v>
                </c:pt>
                <c:pt idx="411">
                  <c:v>-7.0001899999999999</c:v>
                </c:pt>
                <c:pt idx="412">
                  <c:v>-6.7501899999999999</c:v>
                </c:pt>
                <c:pt idx="413">
                  <c:v>-6.5001899999999999</c:v>
                </c:pt>
                <c:pt idx="414">
                  <c:v>-6.2501899999999999</c:v>
                </c:pt>
                <c:pt idx="415">
                  <c:v>-6.0001899999999999</c:v>
                </c:pt>
                <c:pt idx="416">
                  <c:v>-5.7501899999999999</c:v>
                </c:pt>
                <c:pt idx="417">
                  <c:v>-5.5001899999999999</c:v>
                </c:pt>
                <c:pt idx="418">
                  <c:v>-5.2501899999999999</c:v>
                </c:pt>
                <c:pt idx="419">
                  <c:v>-5.0001899999999999</c:v>
                </c:pt>
                <c:pt idx="420">
                  <c:v>-4.7501899999999999</c:v>
                </c:pt>
                <c:pt idx="421">
                  <c:v>-4.5001899999999999</c:v>
                </c:pt>
                <c:pt idx="422">
                  <c:v>-4.2501899999999999</c:v>
                </c:pt>
                <c:pt idx="423">
                  <c:v>-4.0001899999999999</c:v>
                </c:pt>
                <c:pt idx="424">
                  <c:v>-3.7501899999999999</c:v>
                </c:pt>
                <c:pt idx="425">
                  <c:v>-3.5001899999999999</c:v>
                </c:pt>
                <c:pt idx="426">
                  <c:v>-3.2501899999999999</c:v>
                </c:pt>
                <c:pt idx="427">
                  <c:v>-3.0001899999999999</c:v>
                </c:pt>
                <c:pt idx="428">
                  <c:v>-2.7501899999999999</c:v>
                </c:pt>
                <c:pt idx="429">
                  <c:v>-2.5001899999999999</c:v>
                </c:pt>
                <c:pt idx="430">
                  <c:v>-2.2501899999999999</c:v>
                </c:pt>
                <c:pt idx="431">
                  <c:v>-2.0001899999999999</c:v>
                </c:pt>
                <c:pt idx="432">
                  <c:v>-1.7501899999999999</c:v>
                </c:pt>
                <c:pt idx="433">
                  <c:v>-1.5001899999999999</c:v>
                </c:pt>
                <c:pt idx="434">
                  <c:v>-1.2501899999999999</c:v>
                </c:pt>
                <c:pt idx="435">
                  <c:v>-1.0001899999999999</c:v>
                </c:pt>
                <c:pt idx="436">
                  <c:v>-0.75018799999999997</c:v>
                </c:pt>
                <c:pt idx="437">
                  <c:v>-0.50018799999999997</c:v>
                </c:pt>
                <c:pt idx="438">
                  <c:v>-0.25018800000000002</c:v>
                </c:pt>
                <c:pt idx="439">
                  <c:v>-1.8810300000000001E-4</c:v>
                </c:pt>
                <c:pt idx="440">
                  <c:v>0.24981200000000001</c:v>
                </c:pt>
                <c:pt idx="441">
                  <c:v>0.49981199999999998</c:v>
                </c:pt>
                <c:pt idx="442">
                  <c:v>0.74981200000000003</c:v>
                </c:pt>
                <c:pt idx="443">
                  <c:v>0.99981200000000003</c:v>
                </c:pt>
                <c:pt idx="444">
                  <c:v>1.2498100000000001</c:v>
                </c:pt>
                <c:pt idx="445">
                  <c:v>1.4998100000000001</c:v>
                </c:pt>
                <c:pt idx="446">
                  <c:v>1.7498100000000001</c:v>
                </c:pt>
                <c:pt idx="447">
                  <c:v>1.9998100000000001</c:v>
                </c:pt>
                <c:pt idx="448">
                  <c:v>2.2498100000000001</c:v>
                </c:pt>
                <c:pt idx="449">
                  <c:v>2.4998100000000001</c:v>
                </c:pt>
                <c:pt idx="450">
                  <c:v>2.7498100000000001</c:v>
                </c:pt>
                <c:pt idx="451">
                  <c:v>2.9998100000000001</c:v>
                </c:pt>
                <c:pt idx="452">
                  <c:v>3.2498100000000001</c:v>
                </c:pt>
                <c:pt idx="453">
                  <c:v>3.4998100000000001</c:v>
                </c:pt>
                <c:pt idx="454">
                  <c:v>3.7498100000000001</c:v>
                </c:pt>
                <c:pt idx="455">
                  <c:v>3.9998100000000001</c:v>
                </c:pt>
                <c:pt idx="456">
                  <c:v>4.2498100000000001</c:v>
                </c:pt>
                <c:pt idx="457">
                  <c:v>4.4998100000000001</c:v>
                </c:pt>
                <c:pt idx="458">
                  <c:v>4.7498100000000001</c:v>
                </c:pt>
                <c:pt idx="459">
                  <c:v>4.9998100000000001</c:v>
                </c:pt>
                <c:pt idx="460">
                  <c:v>5.2498100000000001</c:v>
                </c:pt>
                <c:pt idx="461">
                  <c:v>5.4998100000000001</c:v>
                </c:pt>
                <c:pt idx="462">
                  <c:v>5.7498100000000001</c:v>
                </c:pt>
                <c:pt idx="463">
                  <c:v>5.9998100000000001</c:v>
                </c:pt>
                <c:pt idx="464">
                  <c:v>6.2498100000000001</c:v>
                </c:pt>
                <c:pt idx="465">
                  <c:v>6.4998100000000001</c:v>
                </c:pt>
                <c:pt idx="466">
                  <c:v>6.7498100000000001</c:v>
                </c:pt>
                <c:pt idx="467">
                  <c:v>6.9998100000000001</c:v>
                </c:pt>
                <c:pt idx="468">
                  <c:v>7.2498100000000001</c:v>
                </c:pt>
                <c:pt idx="469">
                  <c:v>7.4998100000000001</c:v>
                </c:pt>
                <c:pt idx="470">
                  <c:v>7.7498100000000001</c:v>
                </c:pt>
                <c:pt idx="471">
                  <c:v>7.9998100000000001</c:v>
                </c:pt>
                <c:pt idx="472">
                  <c:v>8.2498100000000001</c:v>
                </c:pt>
                <c:pt idx="473">
                  <c:v>8.4998100000000001</c:v>
                </c:pt>
                <c:pt idx="474">
                  <c:v>8.7498100000000001</c:v>
                </c:pt>
                <c:pt idx="475">
                  <c:v>8.9998100000000001</c:v>
                </c:pt>
                <c:pt idx="476">
                  <c:v>9.2498100000000001</c:v>
                </c:pt>
                <c:pt idx="477">
                  <c:v>9.4998100000000001</c:v>
                </c:pt>
                <c:pt idx="478">
                  <c:v>9.7498100000000001</c:v>
                </c:pt>
                <c:pt idx="479">
                  <c:v>9.9998100000000001</c:v>
                </c:pt>
                <c:pt idx="480">
                  <c:v>10.2498</c:v>
                </c:pt>
                <c:pt idx="481">
                  <c:v>10.4998</c:v>
                </c:pt>
                <c:pt idx="482">
                  <c:v>10.7498</c:v>
                </c:pt>
                <c:pt idx="483">
                  <c:v>10.9998</c:v>
                </c:pt>
                <c:pt idx="484">
                  <c:v>11.2498</c:v>
                </c:pt>
                <c:pt idx="485">
                  <c:v>11.4998</c:v>
                </c:pt>
                <c:pt idx="486">
                  <c:v>11.7498</c:v>
                </c:pt>
                <c:pt idx="487">
                  <c:v>11.9998</c:v>
                </c:pt>
                <c:pt idx="488">
                  <c:v>12.2498</c:v>
                </c:pt>
                <c:pt idx="489">
                  <c:v>12.4998</c:v>
                </c:pt>
                <c:pt idx="490">
                  <c:v>12.7498</c:v>
                </c:pt>
                <c:pt idx="491">
                  <c:v>12.9998</c:v>
                </c:pt>
                <c:pt idx="492">
                  <c:v>13.2498</c:v>
                </c:pt>
                <c:pt idx="493">
                  <c:v>13.4998</c:v>
                </c:pt>
                <c:pt idx="494">
                  <c:v>13.7498</c:v>
                </c:pt>
                <c:pt idx="495">
                  <c:v>13.9998</c:v>
                </c:pt>
                <c:pt idx="496">
                  <c:v>14.2498</c:v>
                </c:pt>
                <c:pt idx="497">
                  <c:v>14.4998</c:v>
                </c:pt>
                <c:pt idx="498">
                  <c:v>14.7498</c:v>
                </c:pt>
                <c:pt idx="499">
                  <c:v>14.9998</c:v>
                </c:pt>
                <c:pt idx="500">
                  <c:v>14.6998</c:v>
                </c:pt>
                <c:pt idx="501">
                  <c:v>14.399800000000001</c:v>
                </c:pt>
                <c:pt idx="502">
                  <c:v>14.0998</c:v>
                </c:pt>
                <c:pt idx="503">
                  <c:v>13.799799999999999</c:v>
                </c:pt>
                <c:pt idx="504">
                  <c:v>13.4998</c:v>
                </c:pt>
                <c:pt idx="505">
                  <c:v>13.1998</c:v>
                </c:pt>
                <c:pt idx="506">
                  <c:v>12.899800000000001</c:v>
                </c:pt>
                <c:pt idx="507">
                  <c:v>12.5998</c:v>
                </c:pt>
                <c:pt idx="508">
                  <c:v>12.299799999999999</c:v>
                </c:pt>
                <c:pt idx="509">
                  <c:v>11.9998</c:v>
                </c:pt>
                <c:pt idx="510">
                  <c:v>11.6998</c:v>
                </c:pt>
                <c:pt idx="511">
                  <c:v>11.399800000000001</c:v>
                </c:pt>
                <c:pt idx="512">
                  <c:v>11.0998</c:v>
                </c:pt>
                <c:pt idx="513">
                  <c:v>10.799799999999999</c:v>
                </c:pt>
                <c:pt idx="514">
                  <c:v>10.4998</c:v>
                </c:pt>
                <c:pt idx="515">
                  <c:v>10.1998</c:v>
                </c:pt>
                <c:pt idx="516">
                  <c:v>9.8998100000000004</c:v>
                </c:pt>
                <c:pt idx="517">
                  <c:v>9.5998099999999997</c:v>
                </c:pt>
                <c:pt idx="518">
                  <c:v>9.2998100000000008</c:v>
                </c:pt>
                <c:pt idx="519">
                  <c:v>8.9998100000000001</c:v>
                </c:pt>
                <c:pt idx="520">
                  <c:v>8.6998099999999994</c:v>
                </c:pt>
                <c:pt idx="521">
                  <c:v>8.3998100000000004</c:v>
                </c:pt>
                <c:pt idx="522">
                  <c:v>8.0998099999999997</c:v>
                </c:pt>
                <c:pt idx="523">
                  <c:v>7.7998099999999999</c:v>
                </c:pt>
                <c:pt idx="524">
                  <c:v>7.4998100000000001</c:v>
                </c:pt>
                <c:pt idx="525">
                  <c:v>7.1998100000000003</c:v>
                </c:pt>
                <c:pt idx="526">
                  <c:v>6.8998100000000004</c:v>
                </c:pt>
                <c:pt idx="527">
                  <c:v>6.5998099999999997</c:v>
                </c:pt>
                <c:pt idx="528">
                  <c:v>6.2998099999999999</c:v>
                </c:pt>
                <c:pt idx="529">
                  <c:v>5.9998100000000001</c:v>
                </c:pt>
                <c:pt idx="530">
                  <c:v>5.6998100000000003</c:v>
                </c:pt>
                <c:pt idx="531">
                  <c:v>5.3998100000000004</c:v>
                </c:pt>
                <c:pt idx="532">
                  <c:v>5.0998099999999997</c:v>
                </c:pt>
                <c:pt idx="533">
                  <c:v>4.7998099999999999</c:v>
                </c:pt>
                <c:pt idx="534">
                  <c:v>4.4998100000000001</c:v>
                </c:pt>
                <c:pt idx="535">
                  <c:v>4.1998100000000003</c:v>
                </c:pt>
                <c:pt idx="536">
                  <c:v>3.89981</c:v>
                </c:pt>
                <c:pt idx="537">
                  <c:v>3.5998100000000002</c:v>
                </c:pt>
                <c:pt idx="538">
                  <c:v>3.2998099999999999</c:v>
                </c:pt>
                <c:pt idx="539">
                  <c:v>2.9998100000000001</c:v>
                </c:pt>
                <c:pt idx="540">
                  <c:v>2.6998099999999998</c:v>
                </c:pt>
                <c:pt idx="541">
                  <c:v>2.39981</c:v>
                </c:pt>
                <c:pt idx="542">
                  <c:v>2.0998100000000002</c:v>
                </c:pt>
                <c:pt idx="543">
                  <c:v>1.7998099999999999</c:v>
                </c:pt>
                <c:pt idx="544">
                  <c:v>1.4998100000000001</c:v>
                </c:pt>
                <c:pt idx="545">
                  <c:v>1.19981</c:v>
                </c:pt>
                <c:pt idx="546">
                  <c:v>0.89981199999999995</c:v>
                </c:pt>
                <c:pt idx="547">
                  <c:v>0.59981200000000001</c:v>
                </c:pt>
                <c:pt idx="548">
                  <c:v>0.29981200000000002</c:v>
                </c:pt>
                <c:pt idx="549">
                  <c:v>-1.8810300000000001E-4</c:v>
                </c:pt>
                <c:pt idx="550">
                  <c:v>-0.30018800000000001</c:v>
                </c:pt>
                <c:pt idx="551">
                  <c:v>-0.60018800000000005</c:v>
                </c:pt>
                <c:pt idx="552">
                  <c:v>-0.90018799999999999</c:v>
                </c:pt>
                <c:pt idx="553">
                  <c:v>-1.2001900000000001</c:v>
                </c:pt>
                <c:pt idx="554">
                  <c:v>-1.5001899999999999</c:v>
                </c:pt>
                <c:pt idx="555">
                  <c:v>-1.80019</c:v>
                </c:pt>
                <c:pt idx="556">
                  <c:v>-2.10019</c:v>
                </c:pt>
                <c:pt idx="557">
                  <c:v>-2.4001899999999998</c:v>
                </c:pt>
                <c:pt idx="558">
                  <c:v>-2.7001900000000001</c:v>
                </c:pt>
                <c:pt idx="559">
                  <c:v>-3.0001899999999999</c:v>
                </c:pt>
                <c:pt idx="560">
                  <c:v>-3.3001900000000002</c:v>
                </c:pt>
                <c:pt idx="561">
                  <c:v>-3.60019</c:v>
                </c:pt>
                <c:pt idx="562">
                  <c:v>-3.9001899999999998</c:v>
                </c:pt>
                <c:pt idx="563">
                  <c:v>-4.2001900000000001</c:v>
                </c:pt>
                <c:pt idx="564">
                  <c:v>-4.5001899999999999</c:v>
                </c:pt>
                <c:pt idx="565">
                  <c:v>-4.8001899999999997</c:v>
                </c:pt>
                <c:pt idx="566">
                  <c:v>-5.1001899999999996</c:v>
                </c:pt>
                <c:pt idx="567">
                  <c:v>-5.4001900000000003</c:v>
                </c:pt>
                <c:pt idx="568">
                  <c:v>-5.7001900000000001</c:v>
                </c:pt>
                <c:pt idx="569">
                  <c:v>-6.0001899999999999</c:v>
                </c:pt>
                <c:pt idx="570">
                  <c:v>-6.3001899999999997</c:v>
                </c:pt>
                <c:pt idx="571">
                  <c:v>-6.6001899999999996</c:v>
                </c:pt>
                <c:pt idx="572">
                  <c:v>-6.9001900000000003</c:v>
                </c:pt>
                <c:pt idx="573">
                  <c:v>-7.2001900000000001</c:v>
                </c:pt>
                <c:pt idx="574">
                  <c:v>-7.5001899999999999</c:v>
                </c:pt>
                <c:pt idx="575">
                  <c:v>-7.8001899999999997</c:v>
                </c:pt>
                <c:pt idx="576">
                  <c:v>-8.1001899999999996</c:v>
                </c:pt>
                <c:pt idx="577">
                  <c:v>-8.4001900000000003</c:v>
                </c:pt>
                <c:pt idx="578">
                  <c:v>-8.7001899999999992</c:v>
                </c:pt>
                <c:pt idx="579">
                  <c:v>-9.0001899999999999</c:v>
                </c:pt>
                <c:pt idx="580">
                  <c:v>-9.3001900000000006</c:v>
                </c:pt>
                <c:pt idx="581">
                  <c:v>-9.6001899999999996</c:v>
                </c:pt>
                <c:pt idx="582">
                  <c:v>-9.9001900000000003</c:v>
                </c:pt>
                <c:pt idx="583">
                  <c:v>-10.200200000000001</c:v>
                </c:pt>
                <c:pt idx="584">
                  <c:v>-10.5002</c:v>
                </c:pt>
                <c:pt idx="585">
                  <c:v>-10.8002</c:v>
                </c:pt>
                <c:pt idx="586">
                  <c:v>-11.100199999999999</c:v>
                </c:pt>
                <c:pt idx="587">
                  <c:v>-11.4002</c:v>
                </c:pt>
                <c:pt idx="588">
                  <c:v>-11.700200000000001</c:v>
                </c:pt>
                <c:pt idx="589">
                  <c:v>-12.0002</c:v>
                </c:pt>
                <c:pt idx="590">
                  <c:v>-12.3002</c:v>
                </c:pt>
                <c:pt idx="591">
                  <c:v>-12.600199999999999</c:v>
                </c:pt>
                <c:pt idx="592">
                  <c:v>-12.9002</c:v>
                </c:pt>
                <c:pt idx="593">
                  <c:v>-13.200200000000001</c:v>
                </c:pt>
                <c:pt idx="594">
                  <c:v>-13.5002</c:v>
                </c:pt>
                <c:pt idx="595">
                  <c:v>-13.8002</c:v>
                </c:pt>
                <c:pt idx="596">
                  <c:v>-14.100199999999999</c:v>
                </c:pt>
                <c:pt idx="597">
                  <c:v>-14.4002</c:v>
                </c:pt>
                <c:pt idx="598">
                  <c:v>-14.700200000000001</c:v>
                </c:pt>
                <c:pt idx="599">
                  <c:v>-15.0002</c:v>
                </c:pt>
                <c:pt idx="600">
                  <c:v>-14.6502</c:v>
                </c:pt>
                <c:pt idx="601">
                  <c:v>-14.3002</c:v>
                </c:pt>
                <c:pt idx="602">
                  <c:v>-13.950200000000001</c:v>
                </c:pt>
                <c:pt idx="603">
                  <c:v>-13.600199999999999</c:v>
                </c:pt>
                <c:pt idx="604">
                  <c:v>-13.2502</c:v>
                </c:pt>
                <c:pt idx="605">
                  <c:v>-12.9002</c:v>
                </c:pt>
                <c:pt idx="606">
                  <c:v>-12.5502</c:v>
                </c:pt>
                <c:pt idx="607">
                  <c:v>-12.200200000000001</c:v>
                </c:pt>
                <c:pt idx="608">
                  <c:v>-11.850199999999999</c:v>
                </c:pt>
                <c:pt idx="609">
                  <c:v>-11.5002</c:v>
                </c:pt>
                <c:pt idx="610">
                  <c:v>-11.1502</c:v>
                </c:pt>
                <c:pt idx="611">
                  <c:v>-10.8002</c:v>
                </c:pt>
                <c:pt idx="612">
                  <c:v>-10.450200000000001</c:v>
                </c:pt>
                <c:pt idx="613">
                  <c:v>-10.100199999999999</c:v>
                </c:pt>
                <c:pt idx="614">
                  <c:v>-9.7501899999999999</c:v>
                </c:pt>
                <c:pt idx="615">
                  <c:v>-9.4001900000000003</c:v>
                </c:pt>
                <c:pt idx="616">
                  <c:v>-9.0501900000000006</c:v>
                </c:pt>
                <c:pt idx="617">
                  <c:v>-8.7001899999999992</c:v>
                </c:pt>
                <c:pt idx="618">
                  <c:v>-8.3501899999999996</c:v>
                </c:pt>
                <c:pt idx="619">
                  <c:v>-8.0001899999999999</c:v>
                </c:pt>
                <c:pt idx="620">
                  <c:v>-7.6501900000000003</c:v>
                </c:pt>
                <c:pt idx="621">
                  <c:v>-7.3001899999999997</c:v>
                </c:pt>
                <c:pt idx="622">
                  <c:v>-6.9501900000000001</c:v>
                </c:pt>
                <c:pt idx="623">
                  <c:v>-6.6001899999999996</c:v>
                </c:pt>
                <c:pt idx="624">
                  <c:v>-6.2501899999999999</c:v>
                </c:pt>
                <c:pt idx="625">
                  <c:v>-5.9001900000000003</c:v>
                </c:pt>
                <c:pt idx="626">
                  <c:v>-5.5501899999999997</c:v>
                </c:pt>
                <c:pt idx="627">
                  <c:v>-5.2001900000000001</c:v>
                </c:pt>
                <c:pt idx="628">
                  <c:v>-4.8501899999999996</c:v>
                </c:pt>
                <c:pt idx="629">
                  <c:v>-4.5001899999999999</c:v>
                </c:pt>
                <c:pt idx="630">
                  <c:v>-4.1501900000000003</c:v>
                </c:pt>
                <c:pt idx="631">
                  <c:v>-3.8001900000000002</c:v>
                </c:pt>
                <c:pt idx="632">
                  <c:v>-3.4501900000000001</c:v>
                </c:pt>
                <c:pt idx="633">
                  <c:v>-3.10019</c:v>
                </c:pt>
                <c:pt idx="634">
                  <c:v>-2.7501899999999999</c:v>
                </c:pt>
                <c:pt idx="635">
                  <c:v>-2.4001899999999998</c:v>
                </c:pt>
                <c:pt idx="636">
                  <c:v>-2.0501900000000002</c:v>
                </c:pt>
                <c:pt idx="637">
                  <c:v>-1.7001900000000001</c:v>
                </c:pt>
                <c:pt idx="638">
                  <c:v>-1.35019</c:v>
                </c:pt>
                <c:pt idx="639">
                  <c:v>-1.0001899999999999</c:v>
                </c:pt>
                <c:pt idx="640">
                  <c:v>-0.65018799999999999</c:v>
                </c:pt>
                <c:pt idx="641">
                  <c:v>-0.30018800000000001</c:v>
                </c:pt>
                <c:pt idx="642">
                  <c:v>4.9811899999999999E-2</c:v>
                </c:pt>
                <c:pt idx="643">
                  <c:v>0.399812</c:v>
                </c:pt>
                <c:pt idx="644">
                  <c:v>0.74981200000000003</c:v>
                </c:pt>
                <c:pt idx="645">
                  <c:v>1.09981</c:v>
                </c:pt>
                <c:pt idx="646">
                  <c:v>1.44981</c:v>
                </c:pt>
                <c:pt idx="647">
                  <c:v>1.7998099999999999</c:v>
                </c:pt>
                <c:pt idx="648">
                  <c:v>2.14981</c:v>
                </c:pt>
                <c:pt idx="649">
                  <c:v>2.4998100000000001</c:v>
                </c:pt>
                <c:pt idx="650">
                  <c:v>2.8498100000000002</c:v>
                </c:pt>
                <c:pt idx="651">
                  <c:v>3.1998099999999998</c:v>
                </c:pt>
                <c:pt idx="652">
                  <c:v>3.5498099999999999</c:v>
                </c:pt>
                <c:pt idx="653">
                  <c:v>3.89981</c:v>
                </c:pt>
                <c:pt idx="654">
                  <c:v>4.2498100000000001</c:v>
                </c:pt>
                <c:pt idx="655">
                  <c:v>4.5998099999999997</c:v>
                </c:pt>
                <c:pt idx="656">
                  <c:v>4.9498100000000003</c:v>
                </c:pt>
                <c:pt idx="657">
                  <c:v>5.2998099999999999</c:v>
                </c:pt>
                <c:pt idx="658">
                  <c:v>5.6498100000000004</c:v>
                </c:pt>
                <c:pt idx="659">
                  <c:v>5.9998100000000001</c:v>
                </c:pt>
                <c:pt idx="660">
                  <c:v>6.3498099999999997</c:v>
                </c:pt>
                <c:pt idx="661">
                  <c:v>6.6998100000000003</c:v>
                </c:pt>
                <c:pt idx="662">
                  <c:v>7.0498099999999999</c:v>
                </c:pt>
                <c:pt idx="663">
                  <c:v>7.3998100000000004</c:v>
                </c:pt>
                <c:pt idx="664">
                  <c:v>7.7498100000000001</c:v>
                </c:pt>
                <c:pt idx="665">
                  <c:v>8.0998099999999997</c:v>
                </c:pt>
                <c:pt idx="666">
                  <c:v>8.4498099999999994</c:v>
                </c:pt>
                <c:pt idx="667">
                  <c:v>8.7998100000000008</c:v>
                </c:pt>
                <c:pt idx="668">
                  <c:v>9.1498100000000004</c:v>
                </c:pt>
                <c:pt idx="669">
                  <c:v>9.4998100000000001</c:v>
                </c:pt>
                <c:pt idx="670">
                  <c:v>9.8498099999999997</c:v>
                </c:pt>
                <c:pt idx="671">
                  <c:v>10.1998</c:v>
                </c:pt>
                <c:pt idx="672">
                  <c:v>10.549799999999999</c:v>
                </c:pt>
                <c:pt idx="673">
                  <c:v>10.899800000000001</c:v>
                </c:pt>
                <c:pt idx="674">
                  <c:v>11.2498</c:v>
                </c:pt>
                <c:pt idx="675">
                  <c:v>11.5998</c:v>
                </c:pt>
                <c:pt idx="676">
                  <c:v>11.9498</c:v>
                </c:pt>
                <c:pt idx="677">
                  <c:v>12.299799999999999</c:v>
                </c:pt>
                <c:pt idx="678">
                  <c:v>12.649800000000001</c:v>
                </c:pt>
                <c:pt idx="679">
                  <c:v>12.9998</c:v>
                </c:pt>
                <c:pt idx="680">
                  <c:v>13.3498</c:v>
                </c:pt>
                <c:pt idx="681">
                  <c:v>13.6998</c:v>
                </c:pt>
                <c:pt idx="682">
                  <c:v>14.049799999999999</c:v>
                </c:pt>
                <c:pt idx="683">
                  <c:v>14.399800000000001</c:v>
                </c:pt>
                <c:pt idx="684">
                  <c:v>14.7498</c:v>
                </c:pt>
                <c:pt idx="685">
                  <c:v>15.0998</c:v>
                </c:pt>
                <c:pt idx="686">
                  <c:v>15.4498</c:v>
                </c:pt>
                <c:pt idx="687">
                  <c:v>15.799799999999999</c:v>
                </c:pt>
                <c:pt idx="688">
                  <c:v>16.149799999999999</c:v>
                </c:pt>
                <c:pt idx="689">
                  <c:v>16.4998</c:v>
                </c:pt>
                <c:pt idx="690">
                  <c:v>16.849799999999998</c:v>
                </c:pt>
                <c:pt idx="691">
                  <c:v>17.1998</c:v>
                </c:pt>
                <c:pt idx="692">
                  <c:v>17.549800000000001</c:v>
                </c:pt>
                <c:pt idx="693">
                  <c:v>17.899799999999999</c:v>
                </c:pt>
                <c:pt idx="694">
                  <c:v>18.2498</c:v>
                </c:pt>
                <c:pt idx="695">
                  <c:v>18.599799999999998</c:v>
                </c:pt>
                <c:pt idx="696">
                  <c:v>18.9498</c:v>
                </c:pt>
                <c:pt idx="697">
                  <c:v>19.299800000000001</c:v>
                </c:pt>
                <c:pt idx="698">
                  <c:v>19.649799999999999</c:v>
                </c:pt>
                <c:pt idx="699">
                  <c:v>19.9998</c:v>
                </c:pt>
                <c:pt idx="700">
                  <c:v>19.599799999999998</c:v>
                </c:pt>
                <c:pt idx="701">
                  <c:v>19.1998</c:v>
                </c:pt>
                <c:pt idx="702">
                  <c:v>18.799800000000001</c:v>
                </c:pt>
                <c:pt idx="703">
                  <c:v>18.399799999999999</c:v>
                </c:pt>
                <c:pt idx="704">
                  <c:v>17.9998</c:v>
                </c:pt>
                <c:pt idx="705">
                  <c:v>17.599799999999998</c:v>
                </c:pt>
                <c:pt idx="706">
                  <c:v>17.1998</c:v>
                </c:pt>
                <c:pt idx="707">
                  <c:v>16.799800000000001</c:v>
                </c:pt>
                <c:pt idx="708">
                  <c:v>16.399799999999999</c:v>
                </c:pt>
                <c:pt idx="709">
                  <c:v>15.9998</c:v>
                </c:pt>
                <c:pt idx="710">
                  <c:v>15.5998</c:v>
                </c:pt>
                <c:pt idx="711">
                  <c:v>15.1998</c:v>
                </c:pt>
                <c:pt idx="712">
                  <c:v>14.799799999999999</c:v>
                </c:pt>
                <c:pt idx="713">
                  <c:v>14.399800000000001</c:v>
                </c:pt>
                <c:pt idx="714">
                  <c:v>13.9998</c:v>
                </c:pt>
                <c:pt idx="715">
                  <c:v>13.5998</c:v>
                </c:pt>
                <c:pt idx="716">
                  <c:v>13.1998</c:v>
                </c:pt>
                <c:pt idx="717">
                  <c:v>12.799799999999999</c:v>
                </c:pt>
                <c:pt idx="718">
                  <c:v>12.399800000000001</c:v>
                </c:pt>
                <c:pt idx="719">
                  <c:v>11.9998</c:v>
                </c:pt>
                <c:pt idx="720">
                  <c:v>11.5998</c:v>
                </c:pt>
                <c:pt idx="721">
                  <c:v>11.1998</c:v>
                </c:pt>
                <c:pt idx="722">
                  <c:v>10.799799999999999</c:v>
                </c:pt>
                <c:pt idx="723">
                  <c:v>10.399800000000001</c:v>
                </c:pt>
                <c:pt idx="724">
                  <c:v>9.9998100000000001</c:v>
                </c:pt>
                <c:pt idx="725">
                  <c:v>9.5998099999999997</c:v>
                </c:pt>
                <c:pt idx="726">
                  <c:v>9.1998099999999994</c:v>
                </c:pt>
                <c:pt idx="727">
                  <c:v>8.7998100000000008</c:v>
                </c:pt>
                <c:pt idx="728">
                  <c:v>8.3998100000000004</c:v>
                </c:pt>
                <c:pt idx="729">
                  <c:v>7.9998100000000001</c:v>
                </c:pt>
                <c:pt idx="730">
                  <c:v>7.5998099999999997</c:v>
                </c:pt>
                <c:pt idx="731">
                  <c:v>7.1998100000000003</c:v>
                </c:pt>
                <c:pt idx="732">
                  <c:v>6.7998099999999999</c:v>
                </c:pt>
                <c:pt idx="733">
                  <c:v>6.3998100000000004</c:v>
                </c:pt>
                <c:pt idx="734">
                  <c:v>5.9998100000000001</c:v>
                </c:pt>
                <c:pt idx="735">
                  <c:v>5.5998099999999997</c:v>
                </c:pt>
                <c:pt idx="736">
                  <c:v>5.1998100000000003</c:v>
                </c:pt>
                <c:pt idx="737">
                  <c:v>4.7998099999999999</c:v>
                </c:pt>
                <c:pt idx="738">
                  <c:v>4.3998100000000004</c:v>
                </c:pt>
                <c:pt idx="739">
                  <c:v>3.9998100000000001</c:v>
                </c:pt>
                <c:pt idx="740">
                  <c:v>3.5998100000000002</c:v>
                </c:pt>
                <c:pt idx="741">
                  <c:v>3.1998099999999998</c:v>
                </c:pt>
                <c:pt idx="742">
                  <c:v>2.7998099999999999</c:v>
                </c:pt>
                <c:pt idx="743">
                  <c:v>2.39981</c:v>
                </c:pt>
                <c:pt idx="744">
                  <c:v>1.9998100000000001</c:v>
                </c:pt>
                <c:pt idx="745">
                  <c:v>1.59981</c:v>
                </c:pt>
                <c:pt idx="746">
                  <c:v>1.19981</c:v>
                </c:pt>
                <c:pt idx="747">
                  <c:v>0.79981199999999997</c:v>
                </c:pt>
                <c:pt idx="748">
                  <c:v>0.399812</c:v>
                </c:pt>
                <c:pt idx="749">
                  <c:v>-1.8810300000000001E-4</c:v>
                </c:pt>
                <c:pt idx="750">
                  <c:v>-0.40018799999999999</c:v>
                </c:pt>
                <c:pt idx="751">
                  <c:v>-0.80018800000000001</c:v>
                </c:pt>
                <c:pt idx="752">
                  <c:v>-1.2001900000000001</c:v>
                </c:pt>
                <c:pt idx="753">
                  <c:v>-1.60019</c:v>
                </c:pt>
                <c:pt idx="754">
                  <c:v>-2.0001899999999999</c:v>
                </c:pt>
                <c:pt idx="755">
                  <c:v>-2.4001899999999998</c:v>
                </c:pt>
                <c:pt idx="756">
                  <c:v>-2.8001900000000002</c:v>
                </c:pt>
                <c:pt idx="757">
                  <c:v>-3.2001900000000001</c:v>
                </c:pt>
                <c:pt idx="758">
                  <c:v>-3.60019</c:v>
                </c:pt>
                <c:pt idx="759">
                  <c:v>-4.0001899999999999</c:v>
                </c:pt>
                <c:pt idx="760">
                  <c:v>-4.4001900000000003</c:v>
                </c:pt>
                <c:pt idx="761">
                  <c:v>-4.8001899999999997</c:v>
                </c:pt>
                <c:pt idx="762">
                  <c:v>-5.2001900000000001</c:v>
                </c:pt>
                <c:pt idx="763">
                  <c:v>-5.6001899999999996</c:v>
                </c:pt>
                <c:pt idx="764">
                  <c:v>-6.0001899999999999</c:v>
                </c:pt>
                <c:pt idx="765">
                  <c:v>-6.4001900000000003</c:v>
                </c:pt>
                <c:pt idx="766">
                  <c:v>-6.8001899999999997</c:v>
                </c:pt>
                <c:pt idx="767">
                  <c:v>-7.2001900000000001</c:v>
                </c:pt>
                <c:pt idx="768">
                  <c:v>-7.6001899999999996</c:v>
                </c:pt>
                <c:pt idx="769">
                  <c:v>-8.0001899999999999</c:v>
                </c:pt>
                <c:pt idx="770">
                  <c:v>-8.4001900000000003</c:v>
                </c:pt>
                <c:pt idx="771">
                  <c:v>-8.8001900000000006</c:v>
                </c:pt>
                <c:pt idx="772">
                  <c:v>-9.2001899999999992</c:v>
                </c:pt>
                <c:pt idx="773">
                  <c:v>-9.6001899999999996</c:v>
                </c:pt>
                <c:pt idx="774">
                  <c:v>-10.0002</c:v>
                </c:pt>
                <c:pt idx="775">
                  <c:v>-10.4002</c:v>
                </c:pt>
                <c:pt idx="776">
                  <c:v>-10.8002</c:v>
                </c:pt>
                <c:pt idx="777">
                  <c:v>-11.200200000000001</c:v>
                </c:pt>
                <c:pt idx="778">
                  <c:v>-11.600199999999999</c:v>
                </c:pt>
                <c:pt idx="779">
                  <c:v>-12.0002</c:v>
                </c:pt>
                <c:pt idx="780">
                  <c:v>-12.4002</c:v>
                </c:pt>
                <c:pt idx="781">
                  <c:v>-12.8002</c:v>
                </c:pt>
                <c:pt idx="782">
                  <c:v>-13.200200000000001</c:v>
                </c:pt>
                <c:pt idx="783">
                  <c:v>-13.600199999999999</c:v>
                </c:pt>
                <c:pt idx="784">
                  <c:v>-14.0002</c:v>
                </c:pt>
                <c:pt idx="785">
                  <c:v>-14.4002</c:v>
                </c:pt>
                <c:pt idx="786">
                  <c:v>-14.8002</c:v>
                </c:pt>
                <c:pt idx="787">
                  <c:v>-15.200200000000001</c:v>
                </c:pt>
                <c:pt idx="788">
                  <c:v>-15.600199999999999</c:v>
                </c:pt>
                <c:pt idx="789">
                  <c:v>-16.0002</c:v>
                </c:pt>
                <c:pt idx="790">
                  <c:v>-16.400200000000002</c:v>
                </c:pt>
                <c:pt idx="791">
                  <c:v>-16.8002</c:v>
                </c:pt>
                <c:pt idx="792">
                  <c:v>-17.200199999999999</c:v>
                </c:pt>
                <c:pt idx="793">
                  <c:v>-17.600200000000001</c:v>
                </c:pt>
                <c:pt idx="794">
                  <c:v>-18.0002</c:v>
                </c:pt>
                <c:pt idx="795">
                  <c:v>-18.400200000000002</c:v>
                </c:pt>
                <c:pt idx="796">
                  <c:v>-18.8002</c:v>
                </c:pt>
                <c:pt idx="797">
                  <c:v>-19.200199999999999</c:v>
                </c:pt>
                <c:pt idx="798">
                  <c:v>-19.600200000000001</c:v>
                </c:pt>
                <c:pt idx="799">
                  <c:v>-20.0002</c:v>
                </c:pt>
                <c:pt idx="800">
                  <c:v>-19.5502</c:v>
                </c:pt>
                <c:pt idx="801">
                  <c:v>-19.100200000000001</c:v>
                </c:pt>
                <c:pt idx="802">
                  <c:v>-18.650200000000002</c:v>
                </c:pt>
                <c:pt idx="803">
                  <c:v>-18.200199999999999</c:v>
                </c:pt>
                <c:pt idx="804">
                  <c:v>-17.7502</c:v>
                </c:pt>
                <c:pt idx="805">
                  <c:v>-17.3002</c:v>
                </c:pt>
                <c:pt idx="806">
                  <c:v>-16.850200000000001</c:v>
                </c:pt>
                <c:pt idx="807">
                  <c:v>-16.400200000000002</c:v>
                </c:pt>
                <c:pt idx="808">
                  <c:v>-15.950200000000001</c:v>
                </c:pt>
                <c:pt idx="809">
                  <c:v>-15.5002</c:v>
                </c:pt>
                <c:pt idx="810">
                  <c:v>-15.0502</c:v>
                </c:pt>
                <c:pt idx="811">
                  <c:v>-14.600199999999999</c:v>
                </c:pt>
                <c:pt idx="812">
                  <c:v>-14.1502</c:v>
                </c:pt>
                <c:pt idx="813">
                  <c:v>-13.700200000000001</c:v>
                </c:pt>
                <c:pt idx="814">
                  <c:v>-13.2502</c:v>
                </c:pt>
                <c:pt idx="815">
                  <c:v>-12.8002</c:v>
                </c:pt>
                <c:pt idx="816">
                  <c:v>-12.350199999999999</c:v>
                </c:pt>
                <c:pt idx="817">
                  <c:v>-11.9002</c:v>
                </c:pt>
                <c:pt idx="818">
                  <c:v>-11.450200000000001</c:v>
                </c:pt>
                <c:pt idx="819">
                  <c:v>-11.0002</c:v>
                </c:pt>
                <c:pt idx="820">
                  <c:v>-10.5502</c:v>
                </c:pt>
                <c:pt idx="821">
                  <c:v>-10.100199999999999</c:v>
                </c:pt>
                <c:pt idx="822">
                  <c:v>-9.6501900000000003</c:v>
                </c:pt>
                <c:pt idx="823">
                  <c:v>-9.2001899999999992</c:v>
                </c:pt>
                <c:pt idx="824">
                  <c:v>-8.7501899999999999</c:v>
                </c:pt>
                <c:pt idx="825">
                  <c:v>-8.3001900000000006</c:v>
                </c:pt>
                <c:pt idx="826">
                  <c:v>-7.8501899999999996</c:v>
                </c:pt>
                <c:pt idx="827">
                  <c:v>-7.4001900000000003</c:v>
                </c:pt>
                <c:pt idx="828">
                  <c:v>-6.9501900000000001</c:v>
                </c:pt>
                <c:pt idx="829">
                  <c:v>-6.5001899999999999</c:v>
                </c:pt>
                <c:pt idx="830">
                  <c:v>-6.0501899999999997</c:v>
                </c:pt>
                <c:pt idx="831">
                  <c:v>-5.6001899999999996</c:v>
                </c:pt>
                <c:pt idx="832">
                  <c:v>-5.1501900000000003</c:v>
                </c:pt>
                <c:pt idx="833">
                  <c:v>-4.7001900000000001</c:v>
                </c:pt>
                <c:pt idx="834">
                  <c:v>-4.2501899999999999</c:v>
                </c:pt>
                <c:pt idx="835">
                  <c:v>-3.8001900000000002</c:v>
                </c:pt>
                <c:pt idx="836">
                  <c:v>-3.35019</c:v>
                </c:pt>
                <c:pt idx="837">
                  <c:v>-2.9001899999999998</c:v>
                </c:pt>
                <c:pt idx="838">
                  <c:v>-2.4501900000000001</c:v>
                </c:pt>
                <c:pt idx="839">
                  <c:v>-2.0001899999999999</c:v>
                </c:pt>
                <c:pt idx="840">
                  <c:v>-1.55019</c:v>
                </c:pt>
                <c:pt idx="841">
                  <c:v>-1.10019</c:v>
                </c:pt>
                <c:pt idx="842">
                  <c:v>-0.65018799999999999</c:v>
                </c:pt>
                <c:pt idx="843">
                  <c:v>-0.200188</c:v>
                </c:pt>
                <c:pt idx="844">
                  <c:v>0.24981200000000001</c:v>
                </c:pt>
                <c:pt idx="845">
                  <c:v>0.69981199999999999</c:v>
                </c:pt>
                <c:pt idx="846">
                  <c:v>1.14981</c:v>
                </c:pt>
                <c:pt idx="847">
                  <c:v>1.59981</c:v>
                </c:pt>
                <c:pt idx="848">
                  <c:v>2.0498099999999999</c:v>
                </c:pt>
                <c:pt idx="849">
                  <c:v>2.4998100000000001</c:v>
                </c:pt>
                <c:pt idx="850">
                  <c:v>2.9498099999999998</c:v>
                </c:pt>
                <c:pt idx="851">
                  <c:v>3.39981</c:v>
                </c:pt>
                <c:pt idx="852">
                  <c:v>3.8498100000000002</c:v>
                </c:pt>
                <c:pt idx="853">
                  <c:v>4.2998099999999999</c:v>
                </c:pt>
                <c:pt idx="854">
                  <c:v>4.7498100000000001</c:v>
                </c:pt>
                <c:pt idx="855">
                  <c:v>5.1998100000000003</c:v>
                </c:pt>
                <c:pt idx="856">
                  <c:v>5.6498100000000004</c:v>
                </c:pt>
                <c:pt idx="857">
                  <c:v>6.0998099999999997</c:v>
                </c:pt>
                <c:pt idx="858">
                  <c:v>6.5498099999999999</c:v>
                </c:pt>
                <c:pt idx="859">
                  <c:v>6.9998100000000001</c:v>
                </c:pt>
                <c:pt idx="860">
                  <c:v>7.4498100000000003</c:v>
                </c:pt>
                <c:pt idx="861">
                  <c:v>7.8998100000000004</c:v>
                </c:pt>
                <c:pt idx="862">
                  <c:v>8.3498099999999997</c:v>
                </c:pt>
                <c:pt idx="863">
                  <c:v>8.7998100000000008</c:v>
                </c:pt>
                <c:pt idx="864">
                  <c:v>9.2498100000000001</c:v>
                </c:pt>
                <c:pt idx="865">
                  <c:v>9.6998099999999994</c:v>
                </c:pt>
                <c:pt idx="866">
                  <c:v>10.149800000000001</c:v>
                </c:pt>
                <c:pt idx="867">
                  <c:v>10.5998</c:v>
                </c:pt>
                <c:pt idx="868">
                  <c:v>11.049799999999999</c:v>
                </c:pt>
                <c:pt idx="869">
                  <c:v>11.4998</c:v>
                </c:pt>
                <c:pt idx="870">
                  <c:v>11.9498</c:v>
                </c:pt>
                <c:pt idx="871">
                  <c:v>12.399800000000001</c:v>
                </c:pt>
                <c:pt idx="872">
                  <c:v>12.8498</c:v>
                </c:pt>
                <c:pt idx="873">
                  <c:v>13.299799999999999</c:v>
                </c:pt>
                <c:pt idx="874">
                  <c:v>13.7498</c:v>
                </c:pt>
                <c:pt idx="875">
                  <c:v>14.1998</c:v>
                </c:pt>
                <c:pt idx="876">
                  <c:v>14.649800000000001</c:v>
                </c:pt>
                <c:pt idx="877">
                  <c:v>15.0998</c:v>
                </c:pt>
                <c:pt idx="878">
                  <c:v>15.549799999999999</c:v>
                </c:pt>
                <c:pt idx="879">
                  <c:v>15.9998</c:v>
                </c:pt>
                <c:pt idx="880">
                  <c:v>16.4498</c:v>
                </c:pt>
                <c:pt idx="881">
                  <c:v>16.899799999999999</c:v>
                </c:pt>
                <c:pt idx="882">
                  <c:v>17.349799999999998</c:v>
                </c:pt>
                <c:pt idx="883">
                  <c:v>17.799800000000001</c:v>
                </c:pt>
                <c:pt idx="884">
                  <c:v>18.2498</c:v>
                </c:pt>
                <c:pt idx="885">
                  <c:v>18.6998</c:v>
                </c:pt>
                <c:pt idx="886">
                  <c:v>19.149799999999999</c:v>
                </c:pt>
                <c:pt idx="887">
                  <c:v>19.599799999999998</c:v>
                </c:pt>
                <c:pt idx="888">
                  <c:v>20.049800000000001</c:v>
                </c:pt>
                <c:pt idx="889">
                  <c:v>20.4998</c:v>
                </c:pt>
                <c:pt idx="890">
                  <c:v>20.9498</c:v>
                </c:pt>
                <c:pt idx="891">
                  <c:v>21.399799999999999</c:v>
                </c:pt>
                <c:pt idx="892">
                  <c:v>21.849799999999998</c:v>
                </c:pt>
                <c:pt idx="893">
                  <c:v>22.299800000000001</c:v>
                </c:pt>
                <c:pt idx="894">
                  <c:v>22.7498</c:v>
                </c:pt>
                <c:pt idx="895">
                  <c:v>23.1998</c:v>
                </c:pt>
                <c:pt idx="896">
                  <c:v>23.649799999999999</c:v>
                </c:pt>
                <c:pt idx="897">
                  <c:v>24.099799999999998</c:v>
                </c:pt>
                <c:pt idx="898">
                  <c:v>24.549800000000001</c:v>
                </c:pt>
                <c:pt idx="899">
                  <c:v>24.9998</c:v>
                </c:pt>
                <c:pt idx="900">
                  <c:v>24.4998</c:v>
                </c:pt>
                <c:pt idx="901">
                  <c:v>23.9998</c:v>
                </c:pt>
                <c:pt idx="902">
                  <c:v>23.4998</c:v>
                </c:pt>
                <c:pt idx="903">
                  <c:v>22.9998</c:v>
                </c:pt>
                <c:pt idx="904">
                  <c:v>22.4998</c:v>
                </c:pt>
                <c:pt idx="905">
                  <c:v>21.9998</c:v>
                </c:pt>
                <c:pt idx="906">
                  <c:v>21.4998</c:v>
                </c:pt>
                <c:pt idx="907">
                  <c:v>20.9998</c:v>
                </c:pt>
                <c:pt idx="908">
                  <c:v>20.4998</c:v>
                </c:pt>
                <c:pt idx="909">
                  <c:v>19.9998</c:v>
                </c:pt>
                <c:pt idx="910">
                  <c:v>19.4998</c:v>
                </c:pt>
                <c:pt idx="911">
                  <c:v>18.9998</c:v>
                </c:pt>
                <c:pt idx="912">
                  <c:v>18.4998</c:v>
                </c:pt>
                <c:pt idx="913">
                  <c:v>17.9998</c:v>
                </c:pt>
                <c:pt idx="914">
                  <c:v>17.4998</c:v>
                </c:pt>
                <c:pt idx="915">
                  <c:v>16.9998</c:v>
                </c:pt>
                <c:pt idx="916">
                  <c:v>16.4998</c:v>
                </c:pt>
                <c:pt idx="917">
                  <c:v>15.9998</c:v>
                </c:pt>
                <c:pt idx="918">
                  <c:v>15.4998</c:v>
                </c:pt>
                <c:pt idx="919">
                  <c:v>14.9998</c:v>
                </c:pt>
                <c:pt idx="920">
                  <c:v>14.4998</c:v>
                </c:pt>
                <c:pt idx="921">
                  <c:v>13.9998</c:v>
                </c:pt>
                <c:pt idx="922">
                  <c:v>13.4998</c:v>
                </c:pt>
                <c:pt idx="923">
                  <c:v>12.9998</c:v>
                </c:pt>
                <c:pt idx="924">
                  <c:v>12.4998</c:v>
                </c:pt>
                <c:pt idx="925">
                  <c:v>11.9998</c:v>
                </c:pt>
                <c:pt idx="926">
                  <c:v>11.4998</c:v>
                </c:pt>
                <c:pt idx="927">
                  <c:v>10.9998</c:v>
                </c:pt>
                <c:pt idx="928">
                  <c:v>10.4998</c:v>
                </c:pt>
                <c:pt idx="929">
                  <c:v>9.9998100000000001</c:v>
                </c:pt>
                <c:pt idx="930">
                  <c:v>9.4998100000000001</c:v>
                </c:pt>
                <c:pt idx="931">
                  <c:v>8.9998100000000001</c:v>
                </c:pt>
                <c:pt idx="932">
                  <c:v>8.4998100000000001</c:v>
                </c:pt>
                <c:pt idx="933">
                  <c:v>7.9998100000000001</c:v>
                </c:pt>
                <c:pt idx="934">
                  <c:v>7.4998100000000001</c:v>
                </c:pt>
                <c:pt idx="935">
                  <c:v>6.9998100000000001</c:v>
                </c:pt>
                <c:pt idx="936">
                  <c:v>6.4998100000000001</c:v>
                </c:pt>
                <c:pt idx="937">
                  <c:v>5.9998100000000001</c:v>
                </c:pt>
                <c:pt idx="938">
                  <c:v>5.4998100000000001</c:v>
                </c:pt>
                <c:pt idx="939">
                  <c:v>4.9998100000000001</c:v>
                </c:pt>
                <c:pt idx="940">
                  <c:v>4.4998100000000001</c:v>
                </c:pt>
                <c:pt idx="941">
                  <c:v>3.9998100000000001</c:v>
                </c:pt>
                <c:pt idx="942">
                  <c:v>3.4998100000000001</c:v>
                </c:pt>
                <c:pt idx="943">
                  <c:v>2.9998100000000001</c:v>
                </c:pt>
                <c:pt idx="944">
                  <c:v>2.4998100000000001</c:v>
                </c:pt>
                <c:pt idx="945">
                  <c:v>1.9998100000000001</c:v>
                </c:pt>
                <c:pt idx="946">
                  <c:v>1.4998100000000001</c:v>
                </c:pt>
                <c:pt idx="947">
                  <c:v>0.99981200000000003</c:v>
                </c:pt>
                <c:pt idx="948">
                  <c:v>0.49981199999999998</c:v>
                </c:pt>
                <c:pt idx="949">
                  <c:v>-1.8810300000000001E-4</c:v>
                </c:pt>
                <c:pt idx="950">
                  <c:v>-0.50018799999999997</c:v>
                </c:pt>
                <c:pt idx="951">
                  <c:v>-1.0001899999999999</c:v>
                </c:pt>
                <c:pt idx="952">
                  <c:v>-1.5001899999999999</c:v>
                </c:pt>
                <c:pt idx="953">
                  <c:v>-2.0001899999999999</c:v>
                </c:pt>
                <c:pt idx="954">
                  <c:v>-2.5001899999999999</c:v>
                </c:pt>
                <c:pt idx="955">
                  <c:v>-3.0001899999999999</c:v>
                </c:pt>
                <c:pt idx="956">
                  <c:v>-3.5001899999999999</c:v>
                </c:pt>
                <c:pt idx="957">
                  <c:v>-4.0001899999999999</c:v>
                </c:pt>
                <c:pt idx="958">
                  <c:v>-4.5001899999999999</c:v>
                </c:pt>
                <c:pt idx="959">
                  <c:v>-5.0001899999999999</c:v>
                </c:pt>
                <c:pt idx="960">
                  <c:v>-5.5001899999999999</c:v>
                </c:pt>
                <c:pt idx="961">
                  <c:v>-6.0001899999999999</c:v>
                </c:pt>
                <c:pt idx="962">
                  <c:v>-6.5001899999999999</c:v>
                </c:pt>
                <c:pt idx="963">
                  <c:v>-7.0001899999999999</c:v>
                </c:pt>
                <c:pt idx="964">
                  <c:v>-7.5001899999999999</c:v>
                </c:pt>
                <c:pt idx="965">
                  <c:v>-8.0001899999999999</c:v>
                </c:pt>
                <c:pt idx="966">
                  <c:v>-8.5001899999999999</c:v>
                </c:pt>
                <c:pt idx="967">
                  <c:v>-9.0001899999999999</c:v>
                </c:pt>
                <c:pt idx="968">
                  <c:v>-9.5001899999999999</c:v>
                </c:pt>
                <c:pt idx="969">
                  <c:v>-10.0002</c:v>
                </c:pt>
                <c:pt idx="970">
                  <c:v>-10.5002</c:v>
                </c:pt>
                <c:pt idx="971">
                  <c:v>-11.0002</c:v>
                </c:pt>
                <c:pt idx="972">
                  <c:v>-11.5002</c:v>
                </c:pt>
                <c:pt idx="973">
                  <c:v>-12.0002</c:v>
                </c:pt>
                <c:pt idx="974">
                  <c:v>-12.5002</c:v>
                </c:pt>
                <c:pt idx="975">
                  <c:v>-13.0002</c:v>
                </c:pt>
                <c:pt idx="976">
                  <c:v>-13.5002</c:v>
                </c:pt>
                <c:pt idx="977">
                  <c:v>-14.0002</c:v>
                </c:pt>
                <c:pt idx="978">
                  <c:v>-14.5002</c:v>
                </c:pt>
                <c:pt idx="979">
                  <c:v>-15.0002</c:v>
                </c:pt>
                <c:pt idx="980">
                  <c:v>-15.5002</c:v>
                </c:pt>
                <c:pt idx="981">
                  <c:v>-16.0002</c:v>
                </c:pt>
                <c:pt idx="982">
                  <c:v>-16.5002</c:v>
                </c:pt>
                <c:pt idx="983">
                  <c:v>-17.0002</c:v>
                </c:pt>
                <c:pt idx="984">
                  <c:v>-17.5002</c:v>
                </c:pt>
                <c:pt idx="985">
                  <c:v>-18.0002</c:v>
                </c:pt>
                <c:pt idx="986">
                  <c:v>-18.5002</c:v>
                </c:pt>
                <c:pt idx="987">
                  <c:v>-19.0002</c:v>
                </c:pt>
                <c:pt idx="988">
                  <c:v>-19.5002</c:v>
                </c:pt>
                <c:pt idx="989">
                  <c:v>-20.0002</c:v>
                </c:pt>
                <c:pt idx="990">
                  <c:v>-20.5002</c:v>
                </c:pt>
                <c:pt idx="991">
                  <c:v>-21.0002</c:v>
                </c:pt>
                <c:pt idx="992">
                  <c:v>-21.5002</c:v>
                </c:pt>
                <c:pt idx="993">
                  <c:v>-22.0002</c:v>
                </c:pt>
                <c:pt idx="994">
                  <c:v>-22.5002</c:v>
                </c:pt>
                <c:pt idx="995">
                  <c:v>-23.0002</c:v>
                </c:pt>
                <c:pt idx="996">
                  <c:v>-23.5002</c:v>
                </c:pt>
                <c:pt idx="997">
                  <c:v>-24.0002</c:v>
                </c:pt>
                <c:pt idx="998">
                  <c:v>-24.5002</c:v>
                </c:pt>
                <c:pt idx="999">
                  <c:v>-25.0002</c:v>
                </c:pt>
              </c:numCache>
            </c:numRef>
          </c:xVal>
          <c:yVal>
            <c:numRef>
              <c:f>Result!$A$1:$A$5000</c:f>
              <c:numCache>
                <c:formatCode>General</c:formatCode>
                <c:ptCount val="5000"/>
                <c:pt idx="0">
                  <c:v>0.68106299999999997</c:v>
                </c:pt>
                <c:pt idx="1">
                  <c:v>0.64232500000000003</c:v>
                </c:pt>
                <c:pt idx="2">
                  <c:v>0.72884800000000005</c:v>
                </c:pt>
                <c:pt idx="3">
                  <c:v>0.88799700000000004</c:v>
                </c:pt>
                <c:pt idx="4">
                  <c:v>1.0240899999999999</c:v>
                </c:pt>
                <c:pt idx="5">
                  <c:v>1.1342699999999999</c:v>
                </c:pt>
                <c:pt idx="6">
                  <c:v>1.2298199999999999</c:v>
                </c:pt>
                <c:pt idx="7">
                  <c:v>1.30166</c:v>
                </c:pt>
                <c:pt idx="8">
                  <c:v>1.37456</c:v>
                </c:pt>
                <c:pt idx="9">
                  <c:v>1.44628</c:v>
                </c:pt>
                <c:pt idx="10">
                  <c:v>1.5161500000000001</c:v>
                </c:pt>
                <c:pt idx="11">
                  <c:v>1.5841000000000001</c:v>
                </c:pt>
                <c:pt idx="12">
                  <c:v>1.65011</c:v>
                </c:pt>
                <c:pt idx="13">
                  <c:v>1.7143999999999999</c:v>
                </c:pt>
                <c:pt idx="14">
                  <c:v>1.77698</c:v>
                </c:pt>
                <c:pt idx="15">
                  <c:v>1.83802</c:v>
                </c:pt>
                <c:pt idx="16">
                  <c:v>1.8976</c:v>
                </c:pt>
                <c:pt idx="17">
                  <c:v>1.9560200000000001</c:v>
                </c:pt>
                <c:pt idx="18">
                  <c:v>2.0136099999999999</c:v>
                </c:pt>
                <c:pt idx="19">
                  <c:v>2.0703900000000002</c:v>
                </c:pt>
                <c:pt idx="20">
                  <c:v>2.1263399999999999</c:v>
                </c:pt>
                <c:pt idx="21">
                  <c:v>2.1816499999999999</c:v>
                </c:pt>
                <c:pt idx="22">
                  <c:v>2.2363300000000002</c:v>
                </c:pt>
                <c:pt idx="23">
                  <c:v>2.2904900000000001</c:v>
                </c:pt>
                <c:pt idx="24">
                  <c:v>2.3441700000000001</c:v>
                </c:pt>
                <c:pt idx="25">
                  <c:v>2.3974799999999998</c:v>
                </c:pt>
                <c:pt idx="26">
                  <c:v>2.4503699999999999</c:v>
                </c:pt>
                <c:pt idx="27">
                  <c:v>2.50291</c:v>
                </c:pt>
                <c:pt idx="28">
                  <c:v>2.5551200000000001</c:v>
                </c:pt>
                <c:pt idx="29">
                  <c:v>2.6070600000000002</c:v>
                </c:pt>
                <c:pt idx="30">
                  <c:v>2.6587399999999999</c:v>
                </c:pt>
                <c:pt idx="31">
                  <c:v>2.7101299999999999</c:v>
                </c:pt>
                <c:pt idx="32">
                  <c:v>2.76125</c:v>
                </c:pt>
                <c:pt idx="33">
                  <c:v>2.8121100000000001</c:v>
                </c:pt>
                <c:pt idx="34">
                  <c:v>2.86273</c:v>
                </c:pt>
                <c:pt idx="35">
                  <c:v>2.9131499999999999</c:v>
                </c:pt>
                <c:pt idx="36">
                  <c:v>2.96339</c:v>
                </c:pt>
                <c:pt idx="37">
                  <c:v>3.0134400000000001</c:v>
                </c:pt>
                <c:pt idx="38">
                  <c:v>3.06331</c:v>
                </c:pt>
                <c:pt idx="39">
                  <c:v>3.1130100000000001</c:v>
                </c:pt>
                <c:pt idx="40">
                  <c:v>3.1625399999999999</c:v>
                </c:pt>
                <c:pt idx="41">
                  <c:v>3.21191</c:v>
                </c:pt>
                <c:pt idx="42">
                  <c:v>3.26112</c:v>
                </c:pt>
                <c:pt idx="43">
                  <c:v>3.3101400000000001</c:v>
                </c:pt>
                <c:pt idx="44">
                  <c:v>3.3590399999999998</c:v>
                </c:pt>
                <c:pt idx="45">
                  <c:v>3.4077600000000001</c:v>
                </c:pt>
                <c:pt idx="46">
                  <c:v>3.4563299999999999</c:v>
                </c:pt>
                <c:pt idx="47">
                  <c:v>3.5047899999999998</c:v>
                </c:pt>
                <c:pt idx="48">
                  <c:v>3.5531199999999998</c:v>
                </c:pt>
                <c:pt idx="49">
                  <c:v>3.6013500000000001</c:v>
                </c:pt>
                <c:pt idx="50">
                  <c:v>3.6494800000000001</c:v>
                </c:pt>
                <c:pt idx="51">
                  <c:v>3.69753</c:v>
                </c:pt>
                <c:pt idx="52">
                  <c:v>3.7454700000000001</c:v>
                </c:pt>
                <c:pt idx="53">
                  <c:v>3.7933300000000001</c:v>
                </c:pt>
                <c:pt idx="54">
                  <c:v>3.84111</c:v>
                </c:pt>
                <c:pt idx="55">
                  <c:v>3.8888199999999999</c:v>
                </c:pt>
                <c:pt idx="56">
                  <c:v>3.9364300000000001</c:v>
                </c:pt>
                <c:pt idx="57">
                  <c:v>3.98394</c:v>
                </c:pt>
                <c:pt idx="58">
                  <c:v>4.0313600000000003</c:v>
                </c:pt>
                <c:pt idx="59">
                  <c:v>4.0787100000000001</c:v>
                </c:pt>
                <c:pt idx="60">
                  <c:v>4.1259899999999998</c:v>
                </c:pt>
                <c:pt idx="61">
                  <c:v>4.1732199999999997</c:v>
                </c:pt>
                <c:pt idx="62">
                  <c:v>4.2203900000000001</c:v>
                </c:pt>
                <c:pt idx="63">
                  <c:v>4.2675200000000002</c:v>
                </c:pt>
                <c:pt idx="64">
                  <c:v>4.3145899999999999</c:v>
                </c:pt>
                <c:pt idx="65">
                  <c:v>4.3616000000000001</c:v>
                </c:pt>
                <c:pt idx="66">
                  <c:v>4.4085400000000003</c:v>
                </c:pt>
                <c:pt idx="67">
                  <c:v>4.4554200000000002</c:v>
                </c:pt>
                <c:pt idx="68">
                  <c:v>4.5022500000000001</c:v>
                </c:pt>
                <c:pt idx="69">
                  <c:v>4.54901</c:v>
                </c:pt>
                <c:pt idx="70">
                  <c:v>4.5957100000000004</c:v>
                </c:pt>
                <c:pt idx="71">
                  <c:v>4.6423800000000002</c:v>
                </c:pt>
                <c:pt idx="72">
                  <c:v>4.6890000000000001</c:v>
                </c:pt>
                <c:pt idx="73">
                  <c:v>4.7355799999999997</c:v>
                </c:pt>
                <c:pt idx="74">
                  <c:v>4.7821199999999999</c:v>
                </c:pt>
                <c:pt idx="75">
                  <c:v>4.8286100000000003</c:v>
                </c:pt>
                <c:pt idx="76">
                  <c:v>4.8750499999999999</c:v>
                </c:pt>
                <c:pt idx="77">
                  <c:v>4.9214399999999996</c:v>
                </c:pt>
                <c:pt idx="78">
                  <c:v>4.9677699999999998</c:v>
                </c:pt>
                <c:pt idx="79">
                  <c:v>5.0140399999999996</c:v>
                </c:pt>
                <c:pt idx="80">
                  <c:v>5.0602600000000004</c:v>
                </c:pt>
                <c:pt idx="81">
                  <c:v>5.1064400000000001</c:v>
                </c:pt>
                <c:pt idx="82">
                  <c:v>5.1525800000000004</c:v>
                </c:pt>
                <c:pt idx="83">
                  <c:v>5.19869</c:v>
                </c:pt>
                <c:pt idx="84">
                  <c:v>5.2447499999999998</c:v>
                </c:pt>
                <c:pt idx="85">
                  <c:v>5.2907700000000002</c:v>
                </c:pt>
                <c:pt idx="86">
                  <c:v>5.3367399999999998</c:v>
                </c:pt>
                <c:pt idx="87">
                  <c:v>5.3826799999999997</c:v>
                </c:pt>
                <c:pt idx="88">
                  <c:v>5.4285800000000002</c:v>
                </c:pt>
                <c:pt idx="89">
                  <c:v>5.4744299999999999</c:v>
                </c:pt>
                <c:pt idx="90">
                  <c:v>5.5202400000000003</c:v>
                </c:pt>
                <c:pt idx="91">
                  <c:v>5.5660100000000003</c:v>
                </c:pt>
                <c:pt idx="92">
                  <c:v>5.6117400000000002</c:v>
                </c:pt>
                <c:pt idx="93">
                  <c:v>5.6574299999999997</c:v>
                </c:pt>
                <c:pt idx="94">
                  <c:v>5.7030900000000004</c:v>
                </c:pt>
                <c:pt idx="95">
                  <c:v>5.74871</c:v>
                </c:pt>
                <c:pt idx="96">
                  <c:v>5.7942999999999998</c:v>
                </c:pt>
                <c:pt idx="97">
                  <c:v>5.8398599999999998</c:v>
                </c:pt>
                <c:pt idx="98">
                  <c:v>5.8853799999999996</c:v>
                </c:pt>
                <c:pt idx="99">
                  <c:v>5.9308699999999996</c:v>
                </c:pt>
                <c:pt idx="100">
                  <c:v>5.8564100000000003</c:v>
                </c:pt>
                <c:pt idx="101">
                  <c:v>5.7592600000000003</c:v>
                </c:pt>
                <c:pt idx="102">
                  <c:v>5.6620400000000002</c:v>
                </c:pt>
                <c:pt idx="103">
                  <c:v>5.5647500000000001</c:v>
                </c:pt>
                <c:pt idx="104">
                  <c:v>5.4673999999999996</c:v>
                </c:pt>
                <c:pt idx="105">
                  <c:v>5.36998</c:v>
                </c:pt>
                <c:pt idx="106">
                  <c:v>5.2724900000000003</c:v>
                </c:pt>
                <c:pt idx="107">
                  <c:v>5.1749000000000001</c:v>
                </c:pt>
                <c:pt idx="108">
                  <c:v>5.0771899999999999</c:v>
                </c:pt>
                <c:pt idx="109">
                  <c:v>4.9794299999999998</c:v>
                </c:pt>
                <c:pt idx="110">
                  <c:v>4.8815200000000001</c:v>
                </c:pt>
                <c:pt idx="111">
                  <c:v>4.7835400000000003</c:v>
                </c:pt>
                <c:pt idx="112">
                  <c:v>4.6854699999999996</c:v>
                </c:pt>
                <c:pt idx="113">
                  <c:v>4.5873299999999997</c:v>
                </c:pt>
                <c:pt idx="114">
                  <c:v>4.4889799999999997</c:v>
                </c:pt>
                <c:pt idx="115">
                  <c:v>4.3904500000000004</c:v>
                </c:pt>
                <c:pt idx="116">
                  <c:v>4.2917899999999998</c:v>
                </c:pt>
                <c:pt idx="117">
                  <c:v>4.1928900000000002</c:v>
                </c:pt>
                <c:pt idx="118">
                  <c:v>4.0938299999999996</c:v>
                </c:pt>
                <c:pt idx="119">
                  <c:v>3.9946299999999999</c:v>
                </c:pt>
                <c:pt idx="120">
                  <c:v>3.8951799999999999</c:v>
                </c:pt>
                <c:pt idx="121">
                  <c:v>3.79556</c:v>
                </c:pt>
                <c:pt idx="122">
                  <c:v>3.6955</c:v>
                </c:pt>
                <c:pt idx="123">
                  <c:v>3.5949900000000001</c:v>
                </c:pt>
                <c:pt idx="124">
                  <c:v>3.4942199999999999</c:v>
                </c:pt>
                <c:pt idx="125">
                  <c:v>3.3931200000000001</c:v>
                </c:pt>
                <c:pt idx="126">
                  <c:v>3.2914099999999999</c:v>
                </c:pt>
                <c:pt idx="127">
                  <c:v>3.1891699999999998</c:v>
                </c:pt>
                <c:pt idx="128">
                  <c:v>3.0863900000000002</c:v>
                </c:pt>
                <c:pt idx="129">
                  <c:v>2.98292</c:v>
                </c:pt>
                <c:pt idx="130">
                  <c:v>2.87846</c:v>
                </c:pt>
                <c:pt idx="131">
                  <c:v>2.7733099999999999</c:v>
                </c:pt>
                <c:pt idx="132">
                  <c:v>2.6671200000000002</c:v>
                </c:pt>
                <c:pt idx="133">
                  <c:v>2.55993</c:v>
                </c:pt>
                <c:pt idx="134">
                  <c:v>2.4518</c:v>
                </c:pt>
                <c:pt idx="135">
                  <c:v>2.3424</c:v>
                </c:pt>
                <c:pt idx="136">
                  <c:v>2.23109</c:v>
                </c:pt>
                <c:pt idx="137">
                  <c:v>2.1178699999999999</c:v>
                </c:pt>
                <c:pt idx="138">
                  <c:v>2.00238</c:v>
                </c:pt>
                <c:pt idx="139">
                  <c:v>1.8840600000000001</c:v>
                </c:pt>
                <c:pt idx="140">
                  <c:v>1.7614399999999999</c:v>
                </c:pt>
                <c:pt idx="141">
                  <c:v>1.6337900000000001</c:v>
                </c:pt>
                <c:pt idx="142">
                  <c:v>1.4995099999999999</c:v>
                </c:pt>
                <c:pt idx="143">
                  <c:v>1.3569899999999999</c:v>
                </c:pt>
                <c:pt idx="144">
                  <c:v>1.20224</c:v>
                </c:pt>
                <c:pt idx="145">
                  <c:v>1.0270999999999999</c:v>
                </c:pt>
                <c:pt idx="146">
                  <c:v>0.82794500000000004</c:v>
                </c:pt>
                <c:pt idx="147">
                  <c:v>0.55368600000000001</c:v>
                </c:pt>
                <c:pt idx="148">
                  <c:v>0.16891200000000001</c:v>
                </c:pt>
                <c:pt idx="149">
                  <c:v>-0.20186100000000001</c:v>
                </c:pt>
                <c:pt idx="150">
                  <c:v>-0.53622000000000003</c:v>
                </c:pt>
                <c:pt idx="151">
                  <c:v>-0.79191699999999998</c:v>
                </c:pt>
                <c:pt idx="152">
                  <c:v>-0.95036299999999996</c:v>
                </c:pt>
                <c:pt idx="153">
                  <c:v>-1.07236</c:v>
                </c:pt>
                <c:pt idx="154">
                  <c:v>-1.1780999999999999</c:v>
                </c:pt>
                <c:pt idx="155">
                  <c:v>-1.2750699999999999</c:v>
                </c:pt>
                <c:pt idx="156">
                  <c:v>-1.3669500000000001</c:v>
                </c:pt>
                <c:pt idx="157">
                  <c:v>-1.4553</c:v>
                </c:pt>
                <c:pt idx="158">
                  <c:v>-1.54027</c:v>
                </c:pt>
                <c:pt idx="159">
                  <c:v>-1.62314</c:v>
                </c:pt>
                <c:pt idx="160">
                  <c:v>-1.7040299999999999</c:v>
                </c:pt>
                <c:pt idx="161">
                  <c:v>-1.7835300000000001</c:v>
                </c:pt>
                <c:pt idx="162">
                  <c:v>-1.8617900000000001</c:v>
                </c:pt>
                <c:pt idx="163">
                  <c:v>-1.9390400000000001</c:v>
                </c:pt>
                <c:pt idx="164">
                  <c:v>-2.0157099999999999</c:v>
                </c:pt>
                <c:pt idx="165">
                  <c:v>-2.0917599999999998</c:v>
                </c:pt>
                <c:pt idx="166">
                  <c:v>-2.1673300000000002</c:v>
                </c:pt>
                <c:pt idx="167">
                  <c:v>-2.24241</c:v>
                </c:pt>
                <c:pt idx="168">
                  <c:v>-2.31704</c:v>
                </c:pt>
                <c:pt idx="169">
                  <c:v>-2.39107</c:v>
                </c:pt>
                <c:pt idx="170">
                  <c:v>-2.4648099999999999</c:v>
                </c:pt>
                <c:pt idx="171">
                  <c:v>-2.5382099999999999</c:v>
                </c:pt>
                <c:pt idx="172">
                  <c:v>-2.6112799999999998</c:v>
                </c:pt>
                <c:pt idx="173">
                  <c:v>-2.68398</c:v>
                </c:pt>
                <c:pt idx="174">
                  <c:v>-2.7563499999999999</c:v>
                </c:pt>
                <c:pt idx="175">
                  <c:v>-2.8285100000000001</c:v>
                </c:pt>
                <c:pt idx="176">
                  <c:v>-2.9004400000000001</c:v>
                </c:pt>
                <c:pt idx="177">
                  <c:v>-2.9721099999999998</c:v>
                </c:pt>
                <c:pt idx="178">
                  <c:v>-3.04359</c:v>
                </c:pt>
                <c:pt idx="179">
                  <c:v>-3.1149399999999998</c:v>
                </c:pt>
                <c:pt idx="180">
                  <c:v>-3.18614</c:v>
                </c:pt>
                <c:pt idx="181">
                  <c:v>-3.2572299999999998</c:v>
                </c:pt>
                <c:pt idx="182">
                  <c:v>-3.3281800000000001</c:v>
                </c:pt>
                <c:pt idx="183">
                  <c:v>-3.3990200000000002</c:v>
                </c:pt>
                <c:pt idx="184">
                  <c:v>-3.4697</c:v>
                </c:pt>
                <c:pt idx="185">
                  <c:v>-3.5402800000000001</c:v>
                </c:pt>
                <c:pt idx="186">
                  <c:v>-3.6108099999999999</c:v>
                </c:pt>
                <c:pt idx="187">
                  <c:v>-3.6812800000000001</c:v>
                </c:pt>
                <c:pt idx="188">
                  <c:v>-3.7517</c:v>
                </c:pt>
                <c:pt idx="189">
                  <c:v>-3.8220399999999999</c:v>
                </c:pt>
                <c:pt idx="190">
                  <c:v>-3.8923399999999999</c:v>
                </c:pt>
                <c:pt idx="191">
                  <c:v>-3.9625900000000001</c:v>
                </c:pt>
                <c:pt idx="192">
                  <c:v>-4.0327900000000003</c:v>
                </c:pt>
                <c:pt idx="193">
                  <c:v>-4.1029299999999997</c:v>
                </c:pt>
                <c:pt idx="194">
                  <c:v>-4.1730200000000002</c:v>
                </c:pt>
                <c:pt idx="195">
                  <c:v>-4.2430500000000002</c:v>
                </c:pt>
                <c:pt idx="196">
                  <c:v>-4.3130300000000004</c:v>
                </c:pt>
                <c:pt idx="197">
                  <c:v>-4.3829500000000001</c:v>
                </c:pt>
                <c:pt idx="198">
                  <c:v>-4.4528299999999996</c:v>
                </c:pt>
                <c:pt idx="199">
                  <c:v>-4.5226699999999997</c:v>
                </c:pt>
                <c:pt idx="200">
                  <c:v>-4.41629</c:v>
                </c:pt>
                <c:pt idx="201">
                  <c:v>-4.3098000000000001</c:v>
                </c:pt>
                <c:pt idx="202">
                  <c:v>-4.2031900000000002</c:v>
                </c:pt>
                <c:pt idx="203">
                  <c:v>-4.0965100000000003</c:v>
                </c:pt>
                <c:pt idx="204">
                  <c:v>-3.9897100000000001</c:v>
                </c:pt>
                <c:pt idx="205">
                  <c:v>-3.8828499999999999</c:v>
                </c:pt>
                <c:pt idx="206">
                  <c:v>-3.7759</c:v>
                </c:pt>
                <c:pt idx="207">
                  <c:v>-3.6688499999999999</c:v>
                </c:pt>
                <c:pt idx="208">
                  <c:v>-3.5617100000000002</c:v>
                </c:pt>
                <c:pt idx="209">
                  <c:v>-3.4544100000000002</c:v>
                </c:pt>
                <c:pt idx="210">
                  <c:v>-3.34687</c:v>
                </c:pt>
                <c:pt idx="211">
                  <c:v>-3.2390500000000002</c:v>
                </c:pt>
                <c:pt idx="212">
                  <c:v>-3.1309800000000001</c:v>
                </c:pt>
                <c:pt idx="213">
                  <c:v>-3.0226799999999998</c:v>
                </c:pt>
                <c:pt idx="214">
                  <c:v>-2.9139699999999999</c:v>
                </c:pt>
                <c:pt idx="215">
                  <c:v>-2.8047399999999998</c:v>
                </c:pt>
                <c:pt idx="216">
                  <c:v>-2.6949200000000002</c:v>
                </c:pt>
                <c:pt idx="217">
                  <c:v>-2.5844499999999999</c:v>
                </c:pt>
                <c:pt idx="218">
                  <c:v>-2.4733100000000001</c:v>
                </c:pt>
                <c:pt idx="219">
                  <c:v>-2.3612899999999999</c:v>
                </c:pt>
                <c:pt idx="220">
                  <c:v>-2.2481599999999999</c:v>
                </c:pt>
                <c:pt idx="221">
                  <c:v>-2.1341100000000002</c:v>
                </c:pt>
                <c:pt idx="222">
                  <c:v>-2.0189699999999999</c:v>
                </c:pt>
                <c:pt idx="223">
                  <c:v>-1.90255</c:v>
                </c:pt>
                <c:pt idx="224">
                  <c:v>-1.78396</c:v>
                </c:pt>
                <c:pt idx="225">
                  <c:v>-1.66279</c:v>
                </c:pt>
                <c:pt idx="226">
                  <c:v>-1.5379700000000001</c:v>
                </c:pt>
                <c:pt idx="227">
                  <c:v>-1.40787</c:v>
                </c:pt>
                <c:pt idx="228">
                  <c:v>-1.27033</c:v>
                </c:pt>
                <c:pt idx="229">
                  <c:v>-1.12096</c:v>
                </c:pt>
                <c:pt idx="230">
                  <c:v>-0.94639899999999999</c:v>
                </c:pt>
                <c:pt idx="231">
                  <c:v>-0.69823999999999997</c:v>
                </c:pt>
                <c:pt idx="232">
                  <c:v>-0.25470999999999999</c:v>
                </c:pt>
                <c:pt idx="233">
                  <c:v>0.26185999999999998</c:v>
                </c:pt>
                <c:pt idx="234">
                  <c:v>0.71927200000000002</c:v>
                </c:pt>
                <c:pt idx="235">
                  <c:v>1.03148</c:v>
                </c:pt>
                <c:pt idx="236">
                  <c:v>1.28386</c:v>
                </c:pt>
                <c:pt idx="237">
                  <c:v>1.50098</c:v>
                </c:pt>
                <c:pt idx="238">
                  <c:v>1.6995499999999999</c:v>
                </c:pt>
                <c:pt idx="239">
                  <c:v>1.8848800000000001</c:v>
                </c:pt>
                <c:pt idx="240">
                  <c:v>2.0610599999999999</c:v>
                </c:pt>
                <c:pt idx="241">
                  <c:v>2.2315900000000002</c:v>
                </c:pt>
                <c:pt idx="242">
                  <c:v>2.3976999999999999</c:v>
                </c:pt>
                <c:pt idx="243">
                  <c:v>2.5602999999999998</c:v>
                </c:pt>
                <c:pt idx="244">
                  <c:v>2.7206800000000002</c:v>
                </c:pt>
                <c:pt idx="245">
                  <c:v>2.8787699999999998</c:v>
                </c:pt>
                <c:pt idx="246">
                  <c:v>3.0349900000000001</c:v>
                </c:pt>
                <c:pt idx="247">
                  <c:v>3.1893699999999998</c:v>
                </c:pt>
                <c:pt idx="248">
                  <c:v>3.3425099999999999</c:v>
                </c:pt>
                <c:pt idx="249">
                  <c:v>3.4943900000000001</c:v>
                </c:pt>
                <c:pt idx="250">
                  <c:v>3.6454399999999998</c:v>
                </c:pt>
                <c:pt idx="251">
                  <c:v>3.7957000000000001</c:v>
                </c:pt>
                <c:pt idx="252">
                  <c:v>3.9450699999999999</c:v>
                </c:pt>
                <c:pt idx="253">
                  <c:v>4.0939699999999997</c:v>
                </c:pt>
                <c:pt idx="254">
                  <c:v>4.2424999999999997</c:v>
                </c:pt>
                <c:pt idx="255">
                  <c:v>4.3905700000000003</c:v>
                </c:pt>
                <c:pt idx="256">
                  <c:v>4.5382999999999996</c:v>
                </c:pt>
                <c:pt idx="257">
                  <c:v>4.6855799999999999</c:v>
                </c:pt>
                <c:pt idx="258">
                  <c:v>4.8326500000000001</c:v>
                </c:pt>
                <c:pt idx="259">
                  <c:v>4.9795299999999996</c:v>
                </c:pt>
                <c:pt idx="260">
                  <c:v>5.1261599999999996</c:v>
                </c:pt>
                <c:pt idx="261">
                  <c:v>5.27257</c:v>
                </c:pt>
                <c:pt idx="262">
                  <c:v>5.4187799999999999</c:v>
                </c:pt>
                <c:pt idx="263">
                  <c:v>5.5648299999999997</c:v>
                </c:pt>
                <c:pt idx="264">
                  <c:v>5.7107200000000002</c:v>
                </c:pt>
                <c:pt idx="265">
                  <c:v>5.8565399999999999</c:v>
                </c:pt>
                <c:pt idx="266">
                  <c:v>5.9991199999999996</c:v>
                </c:pt>
                <c:pt idx="267">
                  <c:v>6.1352000000000002</c:v>
                </c:pt>
                <c:pt idx="268">
                  <c:v>6.2708899999999996</c:v>
                </c:pt>
                <c:pt idx="269">
                  <c:v>6.4062400000000004</c:v>
                </c:pt>
                <c:pt idx="270">
                  <c:v>6.54129</c:v>
                </c:pt>
                <c:pt idx="271">
                  <c:v>6.6760099999999998</c:v>
                </c:pt>
                <c:pt idx="272">
                  <c:v>6.8104300000000002</c:v>
                </c:pt>
                <c:pt idx="273">
                  <c:v>6.9445600000000001</c:v>
                </c:pt>
                <c:pt idx="274">
                  <c:v>7.07836</c:v>
                </c:pt>
                <c:pt idx="275">
                  <c:v>7.2118599999999997</c:v>
                </c:pt>
                <c:pt idx="276">
                  <c:v>7.3450699999999998</c:v>
                </c:pt>
                <c:pt idx="277">
                  <c:v>7.47797</c:v>
                </c:pt>
                <c:pt idx="278">
                  <c:v>7.6105499999999999</c:v>
                </c:pt>
                <c:pt idx="279">
                  <c:v>7.7428100000000004</c:v>
                </c:pt>
                <c:pt idx="280">
                  <c:v>7.8687800000000001</c:v>
                </c:pt>
                <c:pt idx="281">
                  <c:v>7.9822300000000004</c:v>
                </c:pt>
                <c:pt idx="282">
                  <c:v>8.0638799999999993</c:v>
                </c:pt>
                <c:pt idx="283">
                  <c:v>8.1311599999999995</c:v>
                </c:pt>
                <c:pt idx="284">
                  <c:v>8.1974599999999995</c:v>
                </c:pt>
                <c:pt idx="285">
                  <c:v>8.2631999999999994</c:v>
                </c:pt>
                <c:pt idx="286">
                  <c:v>8.3285900000000002</c:v>
                </c:pt>
                <c:pt idx="287">
                  <c:v>8.3936600000000006</c:v>
                </c:pt>
                <c:pt idx="288">
                  <c:v>8.4584399999999995</c:v>
                </c:pt>
                <c:pt idx="289">
                  <c:v>8.5229400000000002</c:v>
                </c:pt>
                <c:pt idx="290">
                  <c:v>8.5871600000000008</c:v>
                </c:pt>
                <c:pt idx="291">
                  <c:v>8.6510800000000003</c:v>
                </c:pt>
                <c:pt idx="292">
                  <c:v>8.7147000000000006</c:v>
                </c:pt>
                <c:pt idx="293">
                  <c:v>8.7780000000000005</c:v>
                </c:pt>
                <c:pt idx="294">
                  <c:v>8.8377599999999994</c:v>
                </c:pt>
                <c:pt idx="295">
                  <c:v>8.8853000000000009</c:v>
                </c:pt>
                <c:pt idx="296">
                  <c:v>8.9223599999999994</c:v>
                </c:pt>
                <c:pt idx="297">
                  <c:v>8.9512499999999999</c:v>
                </c:pt>
                <c:pt idx="298">
                  <c:v>8.9795099999999994</c:v>
                </c:pt>
                <c:pt idx="299">
                  <c:v>9.0074400000000008</c:v>
                </c:pt>
                <c:pt idx="300">
                  <c:v>8.8171999999999997</c:v>
                </c:pt>
                <c:pt idx="301">
                  <c:v>8.6269399999999994</c:v>
                </c:pt>
                <c:pt idx="302">
                  <c:v>8.4366299999999992</c:v>
                </c:pt>
                <c:pt idx="303">
                  <c:v>8.2462700000000009</c:v>
                </c:pt>
                <c:pt idx="304">
                  <c:v>8.0558599999999991</c:v>
                </c:pt>
                <c:pt idx="305">
                  <c:v>7.8653899999999997</c:v>
                </c:pt>
                <c:pt idx="306">
                  <c:v>7.6748399999999997</c:v>
                </c:pt>
                <c:pt idx="307">
                  <c:v>7.4841899999999999</c:v>
                </c:pt>
                <c:pt idx="308">
                  <c:v>7.2934799999999997</c:v>
                </c:pt>
                <c:pt idx="309">
                  <c:v>7.1026800000000003</c:v>
                </c:pt>
                <c:pt idx="310">
                  <c:v>6.9117800000000003</c:v>
                </c:pt>
                <c:pt idx="311">
                  <c:v>6.7207699999999999</c:v>
                </c:pt>
                <c:pt idx="312">
                  <c:v>6.52963</c:v>
                </c:pt>
                <c:pt idx="313">
                  <c:v>6.3383399999999996</c:v>
                </c:pt>
                <c:pt idx="314">
                  <c:v>6.1468999999999996</c:v>
                </c:pt>
                <c:pt idx="315">
                  <c:v>5.9553200000000004</c:v>
                </c:pt>
                <c:pt idx="316">
                  <c:v>5.7635500000000004</c:v>
                </c:pt>
                <c:pt idx="317">
                  <c:v>5.5715500000000002</c:v>
                </c:pt>
                <c:pt idx="318">
                  <c:v>5.3793100000000003</c:v>
                </c:pt>
                <c:pt idx="319">
                  <c:v>5.1867799999999997</c:v>
                </c:pt>
                <c:pt idx="320">
                  <c:v>4.9939099999999996</c:v>
                </c:pt>
                <c:pt idx="321">
                  <c:v>4.8007099999999996</c:v>
                </c:pt>
                <c:pt idx="322">
                  <c:v>4.6071799999999996</c:v>
                </c:pt>
                <c:pt idx="323">
                  <c:v>4.4131499999999999</c:v>
                </c:pt>
                <c:pt idx="324">
                  <c:v>4.21861</c:v>
                </c:pt>
                <c:pt idx="325">
                  <c:v>4.0233999999999996</c:v>
                </c:pt>
                <c:pt idx="326">
                  <c:v>3.8274499999999998</c:v>
                </c:pt>
                <c:pt idx="327">
                  <c:v>3.6306099999999999</c:v>
                </c:pt>
                <c:pt idx="328">
                  <c:v>3.4326099999999999</c:v>
                </c:pt>
                <c:pt idx="329">
                  <c:v>3.2331799999999999</c:v>
                </c:pt>
                <c:pt idx="330">
                  <c:v>3.0318399999999999</c:v>
                </c:pt>
                <c:pt idx="331">
                  <c:v>2.8282799999999999</c:v>
                </c:pt>
                <c:pt idx="332">
                  <c:v>2.6222699999999999</c:v>
                </c:pt>
                <c:pt idx="333">
                  <c:v>2.4134600000000002</c:v>
                </c:pt>
                <c:pt idx="334">
                  <c:v>2.20112</c:v>
                </c:pt>
                <c:pt idx="335">
                  <c:v>1.98438</c:v>
                </c:pt>
                <c:pt idx="336">
                  <c:v>1.7620199999999999</c:v>
                </c:pt>
                <c:pt idx="337">
                  <c:v>1.53264</c:v>
                </c:pt>
                <c:pt idx="338">
                  <c:v>1.30122</c:v>
                </c:pt>
                <c:pt idx="339">
                  <c:v>1.0631200000000001</c:v>
                </c:pt>
                <c:pt idx="340">
                  <c:v>0.80676000000000003</c:v>
                </c:pt>
                <c:pt idx="341">
                  <c:v>0.52917400000000003</c:v>
                </c:pt>
                <c:pt idx="342">
                  <c:v>0.237816</c:v>
                </c:pt>
                <c:pt idx="343">
                  <c:v>-5.2576699999999997E-2</c:v>
                </c:pt>
                <c:pt idx="344">
                  <c:v>-0.31880399999999998</c:v>
                </c:pt>
                <c:pt idx="345">
                  <c:v>-0.55825899999999995</c:v>
                </c:pt>
                <c:pt idx="346">
                  <c:v>-0.77838799999999997</c:v>
                </c:pt>
                <c:pt idx="347">
                  <c:v>-0.97702999999999995</c:v>
                </c:pt>
                <c:pt idx="348">
                  <c:v>-1.1196299999999999</c:v>
                </c:pt>
                <c:pt idx="349">
                  <c:v>-1.2430600000000001</c:v>
                </c:pt>
                <c:pt idx="350">
                  <c:v>-1.36256</c:v>
                </c:pt>
                <c:pt idx="351">
                  <c:v>-1.4789600000000001</c:v>
                </c:pt>
                <c:pt idx="352">
                  <c:v>-1.59276</c:v>
                </c:pt>
                <c:pt idx="353">
                  <c:v>-1.7045300000000001</c:v>
                </c:pt>
                <c:pt idx="354">
                  <c:v>-1.81853</c:v>
                </c:pt>
                <c:pt idx="355">
                  <c:v>-1.9599200000000001</c:v>
                </c:pt>
                <c:pt idx="356">
                  <c:v>-2.1099600000000001</c:v>
                </c:pt>
                <c:pt idx="357">
                  <c:v>-2.2598600000000002</c:v>
                </c:pt>
                <c:pt idx="358">
                  <c:v>-2.4086400000000001</c:v>
                </c:pt>
                <c:pt idx="359">
                  <c:v>-2.5562200000000002</c:v>
                </c:pt>
                <c:pt idx="360">
                  <c:v>-2.7026699999999999</c:v>
                </c:pt>
                <c:pt idx="361">
                  <c:v>-2.84816</c:v>
                </c:pt>
                <c:pt idx="362">
                  <c:v>-2.9929000000000001</c:v>
                </c:pt>
                <c:pt idx="363">
                  <c:v>-3.13693</c:v>
                </c:pt>
                <c:pt idx="364">
                  <c:v>-3.2805</c:v>
                </c:pt>
                <c:pt idx="365">
                  <c:v>-3.4236599999999999</c:v>
                </c:pt>
                <c:pt idx="366">
                  <c:v>-3.5664799999999999</c:v>
                </c:pt>
                <c:pt idx="367">
                  <c:v>-3.7090399999999999</c:v>
                </c:pt>
                <c:pt idx="368">
                  <c:v>-3.85141</c:v>
                </c:pt>
                <c:pt idx="369">
                  <c:v>-3.9936400000000001</c:v>
                </c:pt>
                <c:pt idx="370">
                  <c:v>-4.1356999999999999</c:v>
                </c:pt>
                <c:pt idx="371">
                  <c:v>-4.2776500000000004</c:v>
                </c:pt>
                <c:pt idx="372">
                  <c:v>-4.4194599999999999</c:v>
                </c:pt>
                <c:pt idx="373">
                  <c:v>-4.5608399999999998</c:v>
                </c:pt>
                <c:pt idx="374">
                  <c:v>-4.7016400000000003</c:v>
                </c:pt>
                <c:pt idx="375">
                  <c:v>-4.8422499999999999</c:v>
                </c:pt>
                <c:pt idx="376">
                  <c:v>-4.9827500000000002</c:v>
                </c:pt>
                <c:pt idx="377">
                  <c:v>-5.1201800000000004</c:v>
                </c:pt>
                <c:pt idx="378">
                  <c:v>-5.2399899999999997</c:v>
                </c:pt>
                <c:pt idx="379">
                  <c:v>-5.3460700000000001</c:v>
                </c:pt>
                <c:pt idx="380">
                  <c:v>-5.4504700000000001</c:v>
                </c:pt>
                <c:pt idx="381">
                  <c:v>-5.5548400000000004</c:v>
                </c:pt>
                <c:pt idx="382">
                  <c:v>-5.6591800000000001</c:v>
                </c:pt>
                <c:pt idx="383">
                  <c:v>-5.7634800000000004</c:v>
                </c:pt>
                <c:pt idx="384">
                  <c:v>-5.86768</c:v>
                </c:pt>
                <c:pt idx="385">
                  <c:v>-5.9716300000000002</c:v>
                </c:pt>
                <c:pt idx="386">
                  <c:v>-6.0752800000000002</c:v>
                </c:pt>
                <c:pt idx="387">
                  <c:v>-6.1713100000000001</c:v>
                </c:pt>
                <c:pt idx="388">
                  <c:v>-6.2192299999999996</c:v>
                </c:pt>
                <c:pt idx="389">
                  <c:v>-6.2544500000000003</c:v>
                </c:pt>
                <c:pt idx="390">
                  <c:v>-6.2895099999999999</c:v>
                </c:pt>
                <c:pt idx="391">
                  <c:v>-6.3245399999999998</c:v>
                </c:pt>
                <c:pt idx="392">
                  <c:v>-6.3595300000000003</c:v>
                </c:pt>
                <c:pt idx="393">
                  <c:v>-6.3944799999999997</c:v>
                </c:pt>
                <c:pt idx="394">
                  <c:v>-6.4290700000000003</c:v>
                </c:pt>
                <c:pt idx="395">
                  <c:v>-6.4627800000000004</c:v>
                </c:pt>
                <c:pt idx="396">
                  <c:v>-6.4964399999999998</c:v>
                </c:pt>
                <c:pt idx="397">
                  <c:v>-6.5300399999999996</c:v>
                </c:pt>
                <c:pt idx="398">
                  <c:v>-6.5636000000000001</c:v>
                </c:pt>
                <c:pt idx="399">
                  <c:v>-6.5971299999999999</c:v>
                </c:pt>
                <c:pt idx="400">
                  <c:v>-6.4209500000000004</c:v>
                </c:pt>
                <c:pt idx="401">
                  <c:v>-6.2447299999999997</c:v>
                </c:pt>
                <c:pt idx="402">
                  <c:v>-6.06846</c:v>
                </c:pt>
                <c:pt idx="403">
                  <c:v>-5.8921599999999996</c:v>
                </c:pt>
                <c:pt idx="404">
                  <c:v>-5.7158100000000003</c:v>
                </c:pt>
                <c:pt idx="405">
                  <c:v>-5.53939</c:v>
                </c:pt>
                <c:pt idx="406">
                  <c:v>-5.3629300000000004</c:v>
                </c:pt>
                <c:pt idx="407">
                  <c:v>-5.1863700000000001</c:v>
                </c:pt>
                <c:pt idx="408">
                  <c:v>-5.0097300000000002</c:v>
                </c:pt>
                <c:pt idx="409">
                  <c:v>-4.8329899999999997</c:v>
                </c:pt>
                <c:pt idx="410">
                  <c:v>-4.6561500000000002</c:v>
                </c:pt>
                <c:pt idx="411">
                  <c:v>-4.4791999999999996</c:v>
                </c:pt>
                <c:pt idx="412">
                  <c:v>-4.3021200000000004</c:v>
                </c:pt>
                <c:pt idx="413">
                  <c:v>-4.1249099999999999</c:v>
                </c:pt>
                <c:pt idx="414">
                  <c:v>-3.94753</c:v>
                </c:pt>
                <c:pt idx="415">
                  <c:v>-3.7699600000000002</c:v>
                </c:pt>
                <c:pt idx="416">
                  <c:v>-3.5921400000000001</c:v>
                </c:pt>
                <c:pt idx="417">
                  <c:v>-3.4140000000000001</c:v>
                </c:pt>
                <c:pt idx="418">
                  <c:v>-3.2355100000000001</c:v>
                </c:pt>
                <c:pt idx="419">
                  <c:v>-3.0564300000000002</c:v>
                </c:pt>
                <c:pt idx="420">
                  <c:v>-2.8766099999999999</c:v>
                </c:pt>
                <c:pt idx="421">
                  <c:v>-2.69584</c:v>
                </c:pt>
                <c:pt idx="422">
                  <c:v>-2.5136599999999998</c:v>
                </c:pt>
                <c:pt idx="423">
                  <c:v>-2.3297300000000001</c:v>
                </c:pt>
                <c:pt idx="424">
                  <c:v>-2.1440299999999999</c:v>
                </c:pt>
                <c:pt idx="425">
                  <c:v>-1.9564600000000001</c:v>
                </c:pt>
                <c:pt idx="426">
                  <c:v>-1.7662800000000001</c:v>
                </c:pt>
                <c:pt idx="427">
                  <c:v>-1.57308</c:v>
                </c:pt>
                <c:pt idx="428">
                  <c:v>-1.37683</c:v>
                </c:pt>
                <c:pt idx="429">
                  <c:v>-1.19408</c:v>
                </c:pt>
                <c:pt idx="430">
                  <c:v>-1.0401499999999999</c:v>
                </c:pt>
                <c:pt idx="431">
                  <c:v>-0.88092000000000004</c:v>
                </c:pt>
                <c:pt idx="432">
                  <c:v>-0.71304699999999999</c:v>
                </c:pt>
                <c:pt idx="433">
                  <c:v>-0.53904099999999999</c:v>
                </c:pt>
                <c:pt idx="434">
                  <c:v>-0.36188700000000001</c:v>
                </c:pt>
                <c:pt idx="435">
                  <c:v>-0.18352299999999999</c:v>
                </c:pt>
                <c:pt idx="436">
                  <c:v>-5.0205500000000004E-3</c:v>
                </c:pt>
                <c:pt idx="437">
                  <c:v>0.17319499999999999</c:v>
                </c:pt>
                <c:pt idx="438">
                  <c:v>0.35090900000000003</c:v>
                </c:pt>
                <c:pt idx="439">
                  <c:v>0.52765099999999998</c:v>
                </c:pt>
                <c:pt idx="440">
                  <c:v>0.70289000000000001</c:v>
                </c:pt>
                <c:pt idx="441">
                  <c:v>0.86907800000000002</c:v>
                </c:pt>
                <c:pt idx="442">
                  <c:v>1.02515</c:v>
                </c:pt>
                <c:pt idx="443">
                  <c:v>1.1494200000000001</c:v>
                </c:pt>
                <c:pt idx="444">
                  <c:v>1.2633700000000001</c:v>
                </c:pt>
                <c:pt idx="445">
                  <c:v>1.3763700000000001</c:v>
                </c:pt>
                <c:pt idx="446">
                  <c:v>1.4834400000000001</c:v>
                </c:pt>
                <c:pt idx="447">
                  <c:v>1.5986</c:v>
                </c:pt>
                <c:pt idx="448">
                  <c:v>1.73648</c:v>
                </c:pt>
                <c:pt idx="449">
                  <c:v>1.9416899999999999</c:v>
                </c:pt>
                <c:pt idx="450">
                  <c:v>2.2018900000000001</c:v>
                </c:pt>
                <c:pt idx="451">
                  <c:v>2.4601999999999999</c:v>
                </c:pt>
                <c:pt idx="452">
                  <c:v>2.7142200000000001</c:v>
                </c:pt>
                <c:pt idx="453">
                  <c:v>2.9647700000000001</c:v>
                </c:pt>
                <c:pt idx="454">
                  <c:v>3.2121400000000002</c:v>
                </c:pt>
                <c:pt idx="455">
                  <c:v>3.4566699999999999</c:v>
                </c:pt>
                <c:pt idx="456">
                  <c:v>3.6992099999999999</c:v>
                </c:pt>
                <c:pt idx="457">
                  <c:v>3.9403000000000001</c:v>
                </c:pt>
                <c:pt idx="458">
                  <c:v>4.1801700000000004</c:v>
                </c:pt>
                <c:pt idx="459">
                  <c:v>4.4190500000000004</c:v>
                </c:pt>
                <c:pt idx="460">
                  <c:v>4.6573200000000003</c:v>
                </c:pt>
                <c:pt idx="461">
                  <c:v>4.8950800000000001</c:v>
                </c:pt>
                <c:pt idx="462">
                  <c:v>5.1322000000000001</c:v>
                </c:pt>
                <c:pt idx="463">
                  <c:v>5.36883</c:v>
                </c:pt>
                <c:pt idx="464">
                  <c:v>5.6050500000000003</c:v>
                </c:pt>
                <c:pt idx="465">
                  <c:v>5.8409599999999999</c:v>
                </c:pt>
                <c:pt idx="466">
                  <c:v>6.0766200000000001</c:v>
                </c:pt>
                <c:pt idx="467">
                  <c:v>6.3120599999999998</c:v>
                </c:pt>
                <c:pt idx="468">
                  <c:v>6.5472700000000001</c:v>
                </c:pt>
                <c:pt idx="469">
                  <c:v>6.7822800000000001</c:v>
                </c:pt>
                <c:pt idx="470">
                  <c:v>7.0171200000000002</c:v>
                </c:pt>
                <c:pt idx="471">
                  <c:v>7.2518700000000003</c:v>
                </c:pt>
                <c:pt idx="472">
                  <c:v>7.4864899999999999</c:v>
                </c:pt>
                <c:pt idx="473">
                  <c:v>7.7209599999999998</c:v>
                </c:pt>
                <c:pt idx="474">
                  <c:v>7.9553000000000003</c:v>
                </c:pt>
                <c:pt idx="475">
                  <c:v>8.1895500000000006</c:v>
                </c:pt>
                <c:pt idx="476">
                  <c:v>8.4237000000000002</c:v>
                </c:pt>
                <c:pt idx="477">
                  <c:v>8.6566600000000005</c:v>
                </c:pt>
                <c:pt idx="478">
                  <c:v>8.8597199999999994</c:v>
                </c:pt>
                <c:pt idx="479">
                  <c:v>8.9316499999999994</c:v>
                </c:pt>
                <c:pt idx="480">
                  <c:v>8.9827200000000005</c:v>
                </c:pt>
                <c:pt idx="481">
                  <c:v>9.0324500000000008</c:v>
                </c:pt>
                <c:pt idx="482">
                  <c:v>9.0802800000000001</c:v>
                </c:pt>
                <c:pt idx="483">
                  <c:v>9.1253100000000007</c:v>
                </c:pt>
                <c:pt idx="484">
                  <c:v>9.1657700000000002</c:v>
                </c:pt>
                <c:pt idx="485">
                  <c:v>9.2035900000000002</c:v>
                </c:pt>
                <c:pt idx="486">
                  <c:v>9.2391699999999997</c:v>
                </c:pt>
                <c:pt idx="487">
                  <c:v>9.2735800000000008</c:v>
                </c:pt>
                <c:pt idx="488">
                  <c:v>9.3070799999999991</c:v>
                </c:pt>
                <c:pt idx="489">
                  <c:v>9.33962</c:v>
                </c:pt>
                <c:pt idx="490">
                  <c:v>9.3712300000000006</c:v>
                </c:pt>
                <c:pt idx="491">
                  <c:v>9.40198</c:v>
                </c:pt>
                <c:pt idx="492">
                  <c:v>9.4305000000000003</c:v>
                </c:pt>
                <c:pt idx="493">
                  <c:v>9.4552399999999999</c:v>
                </c:pt>
                <c:pt idx="494">
                  <c:v>9.4682399999999998</c:v>
                </c:pt>
                <c:pt idx="495">
                  <c:v>9.4799600000000002</c:v>
                </c:pt>
                <c:pt idx="496">
                  <c:v>9.4912100000000006</c:v>
                </c:pt>
                <c:pt idx="497">
                  <c:v>9.5008400000000002</c:v>
                </c:pt>
                <c:pt idx="498">
                  <c:v>9.5096000000000007</c:v>
                </c:pt>
                <c:pt idx="499">
                  <c:v>9.5178899999999995</c:v>
                </c:pt>
                <c:pt idx="500">
                  <c:v>9.2368299999999994</c:v>
                </c:pt>
                <c:pt idx="501">
                  <c:v>8.9557500000000001</c:v>
                </c:pt>
                <c:pt idx="502">
                  <c:v>8.6746400000000001</c:v>
                </c:pt>
                <c:pt idx="503">
                  <c:v>8.3935999999999993</c:v>
                </c:pt>
                <c:pt idx="504">
                  <c:v>8.1125100000000003</c:v>
                </c:pt>
                <c:pt idx="505">
                  <c:v>7.8312900000000001</c:v>
                </c:pt>
                <c:pt idx="506">
                  <c:v>7.5498900000000004</c:v>
                </c:pt>
                <c:pt idx="507">
                  <c:v>7.2683099999999996</c:v>
                </c:pt>
                <c:pt idx="508">
                  <c:v>6.98658</c:v>
                </c:pt>
                <c:pt idx="509">
                  <c:v>6.70472</c:v>
                </c:pt>
                <c:pt idx="510">
                  <c:v>6.42265</c:v>
                </c:pt>
                <c:pt idx="511">
                  <c:v>6.14046</c:v>
                </c:pt>
                <c:pt idx="512">
                  <c:v>5.8579999999999997</c:v>
                </c:pt>
                <c:pt idx="513">
                  <c:v>5.5752300000000004</c:v>
                </c:pt>
                <c:pt idx="514">
                  <c:v>5.2919499999999999</c:v>
                </c:pt>
                <c:pt idx="515">
                  <c:v>5.0080499999999999</c:v>
                </c:pt>
                <c:pt idx="516">
                  <c:v>4.7233999999999998</c:v>
                </c:pt>
                <c:pt idx="517">
                  <c:v>4.4380300000000004</c:v>
                </c:pt>
                <c:pt idx="518">
                  <c:v>4.1517099999999996</c:v>
                </c:pt>
                <c:pt idx="519">
                  <c:v>3.86409</c:v>
                </c:pt>
                <c:pt idx="520">
                  <c:v>3.5747200000000001</c:v>
                </c:pt>
                <c:pt idx="521">
                  <c:v>3.2833700000000001</c:v>
                </c:pt>
                <c:pt idx="522">
                  <c:v>2.98855</c:v>
                </c:pt>
                <c:pt idx="523">
                  <c:v>2.6893600000000002</c:v>
                </c:pt>
                <c:pt idx="524">
                  <c:v>2.3855599999999999</c:v>
                </c:pt>
                <c:pt idx="525">
                  <c:v>2.0748500000000001</c:v>
                </c:pt>
                <c:pt idx="526">
                  <c:v>1.7544900000000001</c:v>
                </c:pt>
                <c:pt idx="527">
                  <c:v>1.43038</c:v>
                </c:pt>
                <c:pt idx="528">
                  <c:v>1.09975</c:v>
                </c:pt>
                <c:pt idx="529">
                  <c:v>0.73492800000000003</c:v>
                </c:pt>
                <c:pt idx="530">
                  <c:v>0.34202399999999999</c:v>
                </c:pt>
                <c:pt idx="531">
                  <c:v>-4.5517299999999997E-2</c:v>
                </c:pt>
                <c:pt idx="532">
                  <c:v>-0.391683</c:v>
                </c:pt>
                <c:pt idx="533">
                  <c:v>-0.62172499999999997</c:v>
                </c:pt>
                <c:pt idx="534">
                  <c:v>-0.82686999999999999</c:v>
                </c:pt>
                <c:pt idx="535">
                  <c:v>-1.0203199999999999</c:v>
                </c:pt>
                <c:pt idx="536">
                  <c:v>-1.2033700000000001</c:v>
                </c:pt>
                <c:pt idx="537">
                  <c:v>-1.3798699999999999</c:v>
                </c:pt>
                <c:pt idx="538">
                  <c:v>-1.5510900000000001</c:v>
                </c:pt>
                <c:pt idx="539">
                  <c:v>-1.7181</c:v>
                </c:pt>
                <c:pt idx="540">
                  <c:v>-1.88232</c:v>
                </c:pt>
                <c:pt idx="541">
                  <c:v>-2.0445700000000002</c:v>
                </c:pt>
                <c:pt idx="542">
                  <c:v>-2.2053799999999999</c:v>
                </c:pt>
                <c:pt idx="543">
                  <c:v>-2.3650099999999998</c:v>
                </c:pt>
                <c:pt idx="544">
                  <c:v>-2.5235799999999999</c:v>
                </c:pt>
                <c:pt idx="545">
                  <c:v>-2.6808100000000001</c:v>
                </c:pt>
                <c:pt idx="546">
                  <c:v>-2.8317999999999999</c:v>
                </c:pt>
                <c:pt idx="547">
                  <c:v>-2.9773299999999998</c:v>
                </c:pt>
                <c:pt idx="548">
                  <c:v>-3.12174</c:v>
                </c:pt>
                <c:pt idx="549">
                  <c:v>-3.23766</c:v>
                </c:pt>
                <c:pt idx="550">
                  <c:v>-3.3294100000000002</c:v>
                </c:pt>
                <c:pt idx="551">
                  <c:v>-3.4211</c:v>
                </c:pt>
                <c:pt idx="552">
                  <c:v>-3.5093000000000001</c:v>
                </c:pt>
                <c:pt idx="553">
                  <c:v>-3.5891199999999999</c:v>
                </c:pt>
                <c:pt idx="554">
                  <c:v>-3.6586599999999998</c:v>
                </c:pt>
                <c:pt idx="555">
                  <c:v>-3.7274699999999998</c:v>
                </c:pt>
                <c:pt idx="556">
                  <c:v>-3.7962600000000002</c:v>
                </c:pt>
                <c:pt idx="557">
                  <c:v>-3.86503</c:v>
                </c:pt>
                <c:pt idx="558">
                  <c:v>-3.9337900000000001</c:v>
                </c:pt>
                <c:pt idx="559">
                  <c:v>-4.0025399999999998</c:v>
                </c:pt>
                <c:pt idx="560">
                  <c:v>-4.0712700000000002</c:v>
                </c:pt>
                <c:pt idx="561">
                  <c:v>-4.1207200000000004</c:v>
                </c:pt>
                <c:pt idx="562">
                  <c:v>-4.1678600000000001</c:v>
                </c:pt>
                <c:pt idx="563">
                  <c:v>-4.2149999999999999</c:v>
                </c:pt>
                <c:pt idx="564">
                  <c:v>-4.2621399999999996</c:v>
                </c:pt>
                <c:pt idx="565">
                  <c:v>-4.3092699999999997</c:v>
                </c:pt>
                <c:pt idx="566">
                  <c:v>-4.3563999999999998</c:v>
                </c:pt>
                <c:pt idx="567">
                  <c:v>-4.41629</c:v>
                </c:pt>
                <c:pt idx="568">
                  <c:v>-4.4979800000000001</c:v>
                </c:pt>
                <c:pt idx="569">
                  <c:v>-4.5892200000000001</c:v>
                </c:pt>
                <c:pt idx="570">
                  <c:v>-4.6820700000000004</c:v>
                </c:pt>
                <c:pt idx="571">
                  <c:v>-4.7517699999999996</c:v>
                </c:pt>
                <c:pt idx="572">
                  <c:v>-4.8211000000000004</c:v>
                </c:pt>
                <c:pt idx="573">
                  <c:v>-4.9321400000000004</c:v>
                </c:pt>
                <c:pt idx="574">
                  <c:v>-5.0691699999999997</c:v>
                </c:pt>
                <c:pt idx="575">
                  <c:v>-5.2120899999999999</c:v>
                </c:pt>
                <c:pt idx="576">
                  <c:v>-5.3580399999999999</c:v>
                </c:pt>
                <c:pt idx="577">
                  <c:v>-5.5064599999999997</c:v>
                </c:pt>
                <c:pt idx="578">
                  <c:v>-5.6570999999999998</c:v>
                </c:pt>
                <c:pt idx="579">
                  <c:v>-5.8065800000000003</c:v>
                </c:pt>
                <c:pt idx="580">
                  <c:v>-5.8921900000000003</c:v>
                </c:pt>
                <c:pt idx="581">
                  <c:v>-5.9447099999999997</c:v>
                </c:pt>
                <c:pt idx="582">
                  <c:v>-5.9943</c:v>
                </c:pt>
                <c:pt idx="583">
                  <c:v>-6.0434999999999999</c:v>
                </c:pt>
                <c:pt idx="584">
                  <c:v>-6.0866300000000004</c:v>
                </c:pt>
                <c:pt idx="585">
                  <c:v>-6.1056100000000004</c:v>
                </c:pt>
                <c:pt idx="586">
                  <c:v>-6.1228699999999998</c:v>
                </c:pt>
                <c:pt idx="587">
                  <c:v>-6.1376999999999997</c:v>
                </c:pt>
                <c:pt idx="588">
                  <c:v>-6.1525100000000004</c:v>
                </c:pt>
                <c:pt idx="589">
                  <c:v>-6.1672900000000004</c:v>
                </c:pt>
                <c:pt idx="590">
                  <c:v>-6.18208</c:v>
                </c:pt>
                <c:pt idx="591">
                  <c:v>-6.19686</c:v>
                </c:pt>
                <c:pt idx="592">
                  <c:v>-6.2116400000000001</c:v>
                </c:pt>
                <c:pt idx="593">
                  <c:v>-6.2263900000000003</c:v>
                </c:pt>
                <c:pt idx="594">
                  <c:v>-6.2411199999999996</c:v>
                </c:pt>
                <c:pt idx="595">
                  <c:v>-6.2558199999999999</c:v>
                </c:pt>
                <c:pt idx="596">
                  <c:v>-6.2704899999999997</c:v>
                </c:pt>
                <c:pt idx="597">
                  <c:v>-6.2851400000000002</c:v>
                </c:pt>
                <c:pt idx="598">
                  <c:v>-6.29976</c:v>
                </c:pt>
                <c:pt idx="599">
                  <c:v>-6.3143599999999998</c:v>
                </c:pt>
                <c:pt idx="600">
                  <c:v>-6.0720299999999998</c:v>
                </c:pt>
                <c:pt idx="601">
                  <c:v>-5.8296999999999999</c:v>
                </c:pt>
                <c:pt idx="602">
                  <c:v>-5.5872799999999998</c:v>
                </c:pt>
                <c:pt idx="603">
                  <c:v>-5.3447100000000001</c:v>
                </c:pt>
                <c:pt idx="604">
                  <c:v>-5.1022999999999996</c:v>
                </c:pt>
                <c:pt idx="605">
                  <c:v>-4.8620900000000002</c:v>
                </c:pt>
                <c:pt idx="606">
                  <c:v>-4.6234799999999998</c:v>
                </c:pt>
                <c:pt idx="607">
                  <c:v>-4.3852799999999998</c:v>
                </c:pt>
                <c:pt idx="608">
                  <c:v>-4.1476600000000001</c:v>
                </c:pt>
                <c:pt idx="609">
                  <c:v>-3.9108800000000001</c:v>
                </c:pt>
                <c:pt idx="610">
                  <c:v>-3.6748099999999999</c:v>
                </c:pt>
                <c:pt idx="611">
                  <c:v>-3.43946</c:v>
                </c:pt>
                <c:pt idx="612">
                  <c:v>-3.2120299999999999</c:v>
                </c:pt>
                <c:pt idx="613">
                  <c:v>-2.9884499999999998</c:v>
                </c:pt>
                <c:pt idx="614">
                  <c:v>-2.7850000000000001</c:v>
                </c:pt>
                <c:pt idx="615">
                  <c:v>-2.5857399999999999</c:v>
                </c:pt>
                <c:pt idx="616">
                  <c:v>-2.3879199999999998</c:v>
                </c:pt>
                <c:pt idx="617">
                  <c:v>-2.19537</c:v>
                </c:pt>
                <c:pt idx="618">
                  <c:v>-2.0066999999999999</c:v>
                </c:pt>
                <c:pt idx="619">
                  <c:v>-1.8168599999999999</c:v>
                </c:pt>
                <c:pt idx="620">
                  <c:v>-1.62409</c:v>
                </c:pt>
                <c:pt idx="621">
                  <c:v>-1.42658</c:v>
                </c:pt>
                <c:pt idx="622">
                  <c:v>-1.2222200000000001</c:v>
                </c:pt>
                <c:pt idx="623">
                  <c:v>-1.00918</c:v>
                </c:pt>
                <c:pt idx="624">
                  <c:v>-0.78137299999999998</c:v>
                </c:pt>
                <c:pt idx="625">
                  <c:v>-0.53898100000000004</c:v>
                </c:pt>
                <c:pt idx="626">
                  <c:v>-0.29042000000000001</c:v>
                </c:pt>
                <c:pt idx="627">
                  <c:v>-4.1155499999999998E-2</c:v>
                </c:pt>
                <c:pt idx="628">
                  <c:v>0.207645</c:v>
                </c:pt>
                <c:pt idx="629">
                  <c:v>0.45486199999999999</c:v>
                </c:pt>
                <c:pt idx="630">
                  <c:v>0.69966600000000001</c:v>
                </c:pt>
                <c:pt idx="631">
                  <c:v>0.93532700000000002</c:v>
                </c:pt>
                <c:pt idx="632">
                  <c:v>1.10995</c:v>
                </c:pt>
                <c:pt idx="633">
                  <c:v>1.25905</c:v>
                </c:pt>
                <c:pt idx="634">
                  <c:v>1.4053899999999999</c:v>
                </c:pt>
                <c:pt idx="635">
                  <c:v>1.5510999999999999</c:v>
                </c:pt>
                <c:pt idx="636">
                  <c:v>1.6970700000000001</c:v>
                </c:pt>
                <c:pt idx="637">
                  <c:v>1.8430800000000001</c:v>
                </c:pt>
                <c:pt idx="638">
                  <c:v>1.98811</c:v>
                </c:pt>
                <c:pt idx="639">
                  <c:v>2.1322000000000001</c:v>
                </c:pt>
                <c:pt idx="640">
                  <c:v>2.2755299999999998</c:v>
                </c:pt>
                <c:pt idx="641">
                  <c:v>2.4182299999999999</c:v>
                </c:pt>
                <c:pt idx="642">
                  <c:v>2.5603199999999999</c:v>
                </c:pt>
                <c:pt idx="643">
                  <c:v>2.7018800000000001</c:v>
                </c:pt>
                <c:pt idx="644">
                  <c:v>2.8429700000000002</c:v>
                </c:pt>
                <c:pt idx="645">
                  <c:v>2.9836800000000001</c:v>
                </c:pt>
                <c:pt idx="646">
                  <c:v>3.1164800000000001</c:v>
                </c:pt>
                <c:pt idx="647">
                  <c:v>3.2402199999999999</c:v>
                </c:pt>
                <c:pt idx="648">
                  <c:v>3.3241499999999999</c:v>
                </c:pt>
                <c:pt idx="649">
                  <c:v>3.38605</c:v>
                </c:pt>
                <c:pt idx="650">
                  <c:v>3.4409900000000002</c:v>
                </c:pt>
                <c:pt idx="651">
                  <c:v>3.4867400000000002</c:v>
                </c:pt>
                <c:pt idx="652">
                  <c:v>3.5318200000000002</c:v>
                </c:pt>
                <c:pt idx="653">
                  <c:v>3.5769000000000002</c:v>
                </c:pt>
                <c:pt idx="654">
                  <c:v>3.6219700000000001</c:v>
                </c:pt>
                <c:pt idx="655">
                  <c:v>3.66703</c:v>
                </c:pt>
                <c:pt idx="656">
                  <c:v>3.7120799999999998</c:v>
                </c:pt>
                <c:pt idx="657">
                  <c:v>3.7571300000000001</c:v>
                </c:pt>
                <c:pt idx="658">
                  <c:v>3.80599</c:v>
                </c:pt>
                <c:pt idx="659">
                  <c:v>3.91656</c:v>
                </c:pt>
                <c:pt idx="660">
                  <c:v>4.2020999999999997</c:v>
                </c:pt>
                <c:pt idx="661">
                  <c:v>4.5162199999999997</c:v>
                </c:pt>
                <c:pt idx="662">
                  <c:v>4.8355199999999998</c:v>
                </c:pt>
                <c:pt idx="663">
                  <c:v>5.1532</c:v>
                </c:pt>
                <c:pt idx="664">
                  <c:v>5.4576599999999997</c:v>
                </c:pt>
                <c:pt idx="665">
                  <c:v>5.7531400000000001</c:v>
                </c:pt>
                <c:pt idx="666">
                  <c:v>6.0172999999999996</c:v>
                </c:pt>
                <c:pt idx="667">
                  <c:v>6.22865</c:v>
                </c:pt>
                <c:pt idx="668">
                  <c:v>6.4092399999999996</c:v>
                </c:pt>
                <c:pt idx="669">
                  <c:v>6.5822099999999999</c:v>
                </c:pt>
                <c:pt idx="670">
                  <c:v>6.7485299999999997</c:v>
                </c:pt>
                <c:pt idx="671">
                  <c:v>6.9072199999999997</c:v>
                </c:pt>
                <c:pt idx="672">
                  <c:v>7.0640900000000002</c:v>
                </c:pt>
                <c:pt idx="673">
                  <c:v>7.2208899999999998</c:v>
                </c:pt>
                <c:pt idx="674">
                  <c:v>7.3776400000000004</c:v>
                </c:pt>
                <c:pt idx="675">
                  <c:v>7.5343400000000003</c:v>
                </c:pt>
                <c:pt idx="676">
                  <c:v>7.69095</c:v>
                </c:pt>
                <c:pt idx="677">
                  <c:v>7.8475000000000001</c:v>
                </c:pt>
                <c:pt idx="678">
                  <c:v>8.0039999999999996</c:v>
                </c:pt>
                <c:pt idx="679">
                  <c:v>8.1604600000000005</c:v>
                </c:pt>
                <c:pt idx="680">
                  <c:v>8.3168699999999998</c:v>
                </c:pt>
                <c:pt idx="681">
                  <c:v>8.4716699999999996</c:v>
                </c:pt>
                <c:pt idx="682">
                  <c:v>8.5829400000000007</c:v>
                </c:pt>
                <c:pt idx="683">
                  <c:v>8.6483500000000006</c:v>
                </c:pt>
                <c:pt idx="684">
                  <c:v>8.7078500000000005</c:v>
                </c:pt>
                <c:pt idx="685">
                  <c:v>8.7673299999999994</c:v>
                </c:pt>
                <c:pt idx="686">
                  <c:v>8.82681</c:v>
                </c:pt>
                <c:pt idx="687">
                  <c:v>8.8862299999999994</c:v>
                </c:pt>
                <c:pt idx="688">
                  <c:v>8.9456199999999999</c:v>
                </c:pt>
                <c:pt idx="689">
                  <c:v>9.0048700000000004</c:v>
                </c:pt>
                <c:pt idx="690">
                  <c:v>9.0625300000000006</c:v>
                </c:pt>
                <c:pt idx="691">
                  <c:v>9.1153999999999993</c:v>
                </c:pt>
                <c:pt idx="692">
                  <c:v>9.16371</c:v>
                </c:pt>
                <c:pt idx="693">
                  <c:v>9.2079199999999997</c:v>
                </c:pt>
                <c:pt idx="694">
                  <c:v>9.2495799999999999</c:v>
                </c:pt>
                <c:pt idx="695">
                  <c:v>9.2888400000000004</c:v>
                </c:pt>
                <c:pt idx="696">
                  <c:v>9.3240700000000007</c:v>
                </c:pt>
                <c:pt idx="697">
                  <c:v>9.3577200000000005</c:v>
                </c:pt>
                <c:pt idx="698">
                  <c:v>9.3902300000000007</c:v>
                </c:pt>
                <c:pt idx="699">
                  <c:v>9.4082299999999996</c:v>
                </c:pt>
                <c:pt idx="700">
                  <c:v>9.0399200000000004</c:v>
                </c:pt>
                <c:pt idx="701">
                  <c:v>8.6716300000000004</c:v>
                </c:pt>
                <c:pt idx="702">
                  <c:v>8.3033099999999997</c:v>
                </c:pt>
                <c:pt idx="703">
                  <c:v>7.93492</c:v>
                </c:pt>
                <c:pt idx="704">
                  <c:v>7.5666599999999997</c:v>
                </c:pt>
                <c:pt idx="705">
                  <c:v>7.1991800000000001</c:v>
                </c:pt>
                <c:pt idx="706">
                  <c:v>6.8315999999999999</c:v>
                </c:pt>
                <c:pt idx="707">
                  <c:v>6.4636800000000001</c:v>
                </c:pt>
                <c:pt idx="708">
                  <c:v>6.0952400000000004</c:v>
                </c:pt>
                <c:pt idx="709">
                  <c:v>5.7264499999999998</c:v>
                </c:pt>
                <c:pt idx="710">
                  <c:v>5.3571299999999997</c:v>
                </c:pt>
                <c:pt idx="711">
                  <c:v>4.9872100000000001</c:v>
                </c:pt>
                <c:pt idx="712">
                  <c:v>4.6166400000000003</c:v>
                </c:pt>
                <c:pt idx="713">
                  <c:v>4.2467600000000001</c:v>
                </c:pt>
                <c:pt idx="714">
                  <c:v>3.8752900000000001</c:v>
                </c:pt>
                <c:pt idx="715">
                  <c:v>3.5025900000000001</c:v>
                </c:pt>
                <c:pt idx="716">
                  <c:v>3.12784</c:v>
                </c:pt>
                <c:pt idx="717">
                  <c:v>2.74675</c:v>
                </c:pt>
                <c:pt idx="718">
                  <c:v>2.3581799999999999</c:v>
                </c:pt>
                <c:pt idx="719">
                  <c:v>1.96048</c:v>
                </c:pt>
                <c:pt idx="720">
                  <c:v>1.55488</c:v>
                </c:pt>
                <c:pt idx="721">
                  <c:v>1.1513</c:v>
                </c:pt>
                <c:pt idx="722">
                  <c:v>0.70417099999999999</c:v>
                </c:pt>
                <c:pt idx="723">
                  <c:v>0.252641</c:v>
                </c:pt>
                <c:pt idx="724">
                  <c:v>-0.150809</c:v>
                </c:pt>
                <c:pt idx="725">
                  <c:v>-0.46469100000000002</c:v>
                </c:pt>
                <c:pt idx="726">
                  <c:v>-0.74497100000000005</c:v>
                </c:pt>
                <c:pt idx="727">
                  <c:v>-1.00678</c:v>
                </c:pt>
                <c:pt idx="728">
                  <c:v>-1.2496799999999999</c:v>
                </c:pt>
                <c:pt idx="729">
                  <c:v>-1.48169</c:v>
                </c:pt>
                <c:pt idx="730">
                  <c:v>-1.7054</c:v>
                </c:pt>
                <c:pt idx="731">
                  <c:v>-1.92394</c:v>
                </c:pt>
                <c:pt idx="732">
                  <c:v>-2.1394199999999999</c:v>
                </c:pt>
                <c:pt idx="733">
                  <c:v>-2.3526600000000002</c:v>
                </c:pt>
                <c:pt idx="734">
                  <c:v>-2.5638700000000001</c:v>
                </c:pt>
                <c:pt idx="735">
                  <c:v>-2.77352</c:v>
                </c:pt>
                <c:pt idx="736">
                  <c:v>-2.9703400000000002</c:v>
                </c:pt>
                <c:pt idx="737">
                  <c:v>-3.1611099999999999</c:v>
                </c:pt>
                <c:pt idx="738">
                  <c:v>-3.3002699999999998</c:v>
                </c:pt>
                <c:pt idx="739">
                  <c:v>-3.4104800000000002</c:v>
                </c:pt>
                <c:pt idx="740">
                  <c:v>-3.5104899999999999</c:v>
                </c:pt>
                <c:pt idx="741">
                  <c:v>-3.6072899999999999</c:v>
                </c:pt>
                <c:pt idx="742">
                  <c:v>-3.7002700000000002</c:v>
                </c:pt>
                <c:pt idx="743">
                  <c:v>-3.7731400000000002</c:v>
                </c:pt>
                <c:pt idx="744">
                  <c:v>-3.8360400000000001</c:v>
                </c:pt>
                <c:pt idx="745">
                  <c:v>-3.8989199999999999</c:v>
                </c:pt>
                <c:pt idx="746">
                  <c:v>-3.9618000000000002</c:v>
                </c:pt>
                <c:pt idx="747">
                  <c:v>-4.0246599999999999</c:v>
                </c:pt>
                <c:pt idx="748">
                  <c:v>-4.0875300000000001</c:v>
                </c:pt>
                <c:pt idx="749">
                  <c:v>-4.1503800000000002</c:v>
                </c:pt>
                <c:pt idx="750">
                  <c:v>-4.2132300000000003</c:v>
                </c:pt>
                <c:pt idx="751">
                  <c:v>-4.2760699999999998</c:v>
                </c:pt>
                <c:pt idx="752">
                  <c:v>-4.3360599999999998</c:v>
                </c:pt>
                <c:pt idx="753">
                  <c:v>-4.3922299999999996</c:v>
                </c:pt>
                <c:pt idx="754">
                  <c:v>-4.4469099999999999</c:v>
                </c:pt>
                <c:pt idx="755">
                  <c:v>-4.4953000000000003</c:v>
                </c:pt>
                <c:pt idx="756">
                  <c:v>-4.5296900000000004</c:v>
                </c:pt>
                <c:pt idx="757">
                  <c:v>-4.5614299999999997</c:v>
                </c:pt>
                <c:pt idx="758">
                  <c:v>-4.59267</c:v>
                </c:pt>
                <c:pt idx="759">
                  <c:v>-4.6226599999999998</c:v>
                </c:pt>
                <c:pt idx="760">
                  <c:v>-4.6447000000000003</c:v>
                </c:pt>
                <c:pt idx="761">
                  <c:v>-4.65944</c:v>
                </c:pt>
                <c:pt idx="762">
                  <c:v>-4.6716899999999999</c:v>
                </c:pt>
                <c:pt idx="763">
                  <c:v>-4.6832599999999998</c:v>
                </c:pt>
                <c:pt idx="764">
                  <c:v>-4.6932700000000001</c:v>
                </c:pt>
                <c:pt idx="765">
                  <c:v>-4.7032800000000003</c:v>
                </c:pt>
                <c:pt idx="766">
                  <c:v>-4.7132899999999998</c:v>
                </c:pt>
                <c:pt idx="767">
                  <c:v>-4.7251399999999997</c:v>
                </c:pt>
                <c:pt idx="768">
                  <c:v>-4.7484000000000002</c:v>
                </c:pt>
                <c:pt idx="769">
                  <c:v>-4.7793700000000001</c:v>
                </c:pt>
                <c:pt idx="770">
                  <c:v>-4.8215500000000002</c:v>
                </c:pt>
                <c:pt idx="771">
                  <c:v>-4.8761999999999999</c:v>
                </c:pt>
                <c:pt idx="772">
                  <c:v>-4.9355099999999998</c:v>
                </c:pt>
                <c:pt idx="773">
                  <c:v>-4.9966100000000004</c:v>
                </c:pt>
                <c:pt idx="774">
                  <c:v>-5.0592699999999997</c:v>
                </c:pt>
                <c:pt idx="775">
                  <c:v>-5.1627000000000001</c:v>
                </c:pt>
                <c:pt idx="776">
                  <c:v>-5.3249899999999997</c:v>
                </c:pt>
                <c:pt idx="777">
                  <c:v>-5.4581499999999998</c:v>
                </c:pt>
                <c:pt idx="778">
                  <c:v>-5.5596800000000002</c:v>
                </c:pt>
                <c:pt idx="779">
                  <c:v>-5.6315600000000003</c:v>
                </c:pt>
                <c:pt idx="780">
                  <c:v>-5.6981099999999998</c:v>
                </c:pt>
                <c:pt idx="781">
                  <c:v>-5.7652400000000004</c:v>
                </c:pt>
                <c:pt idx="782">
                  <c:v>-5.8329199999999997</c:v>
                </c:pt>
                <c:pt idx="783">
                  <c:v>-5.9011300000000002</c:v>
                </c:pt>
                <c:pt idx="784">
                  <c:v>-5.9696499999999997</c:v>
                </c:pt>
                <c:pt idx="785">
                  <c:v>-6.0384599999999997</c:v>
                </c:pt>
                <c:pt idx="786">
                  <c:v>-6.1025999999999998</c:v>
                </c:pt>
                <c:pt idx="787">
                  <c:v>-6.1329799999999999</c:v>
                </c:pt>
                <c:pt idx="788">
                  <c:v>-6.1571999999999996</c:v>
                </c:pt>
                <c:pt idx="789">
                  <c:v>-6.1813799999999999</c:v>
                </c:pt>
                <c:pt idx="790">
                  <c:v>-6.2009499999999997</c:v>
                </c:pt>
                <c:pt idx="791">
                  <c:v>-6.2204499999999996</c:v>
                </c:pt>
                <c:pt idx="792">
                  <c:v>-6.2399199999999997</c:v>
                </c:pt>
                <c:pt idx="793">
                  <c:v>-6.2593199999999998</c:v>
                </c:pt>
                <c:pt idx="794">
                  <c:v>-6.2786299999999997</c:v>
                </c:pt>
                <c:pt idx="795">
                  <c:v>-6.2978500000000004</c:v>
                </c:pt>
                <c:pt idx="796">
                  <c:v>-6.3169599999999999</c:v>
                </c:pt>
                <c:pt idx="797">
                  <c:v>-6.3360399999999997</c:v>
                </c:pt>
                <c:pt idx="798">
                  <c:v>-6.3550899999999997</c:v>
                </c:pt>
                <c:pt idx="799">
                  <c:v>-6.3741399999999997</c:v>
                </c:pt>
                <c:pt idx="800">
                  <c:v>-6.0627199999999997</c:v>
                </c:pt>
                <c:pt idx="801">
                  <c:v>-5.7546099999999996</c:v>
                </c:pt>
                <c:pt idx="802">
                  <c:v>-5.4484700000000004</c:v>
                </c:pt>
                <c:pt idx="803">
                  <c:v>-5.14236</c:v>
                </c:pt>
                <c:pt idx="804">
                  <c:v>-4.8363899999999997</c:v>
                </c:pt>
                <c:pt idx="805">
                  <c:v>-4.5307899999999997</c:v>
                </c:pt>
                <c:pt idx="806">
                  <c:v>-4.2259099999999998</c:v>
                </c:pt>
                <c:pt idx="807">
                  <c:v>-3.9214099999999998</c:v>
                </c:pt>
                <c:pt idx="808">
                  <c:v>-3.61809</c:v>
                </c:pt>
                <c:pt idx="809">
                  <c:v>-3.3153000000000001</c:v>
                </c:pt>
                <c:pt idx="810">
                  <c:v>-3.0251299999999999</c:v>
                </c:pt>
                <c:pt idx="811">
                  <c:v>-2.7351899999999998</c:v>
                </c:pt>
                <c:pt idx="812">
                  <c:v>-2.4701</c:v>
                </c:pt>
                <c:pt idx="813">
                  <c:v>-2.21096</c:v>
                </c:pt>
                <c:pt idx="814">
                  <c:v>-1.95583</c:v>
                </c:pt>
                <c:pt idx="815">
                  <c:v>-1.70845</c:v>
                </c:pt>
                <c:pt idx="816">
                  <c:v>-1.4563299999999999</c:v>
                </c:pt>
                <c:pt idx="817">
                  <c:v>-1.1934499999999999</c:v>
                </c:pt>
                <c:pt idx="818">
                  <c:v>-0.91484900000000002</c:v>
                </c:pt>
                <c:pt idx="819">
                  <c:v>-0.61060599999999998</c:v>
                </c:pt>
                <c:pt idx="820">
                  <c:v>-0.29213299999999998</c:v>
                </c:pt>
                <c:pt idx="821">
                  <c:v>2.8342599999999999E-2</c:v>
                </c:pt>
                <c:pt idx="822">
                  <c:v>0.34775299999999998</c:v>
                </c:pt>
                <c:pt idx="823">
                  <c:v>0.66407799999999995</c:v>
                </c:pt>
                <c:pt idx="824">
                  <c:v>0.96762800000000004</c:v>
                </c:pt>
                <c:pt idx="825">
                  <c:v>1.1712400000000001</c:v>
                </c:pt>
                <c:pt idx="826">
                  <c:v>1.3608800000000001</c:v>
                </c:pt>
                <c:pt idx="827">
                  <c:v>1.5487</c:v>
                </c:pt>
                <c:pt idx="828">
                  <c:v>1.7367300000000001</c:v>
                </c:pt>
                <c:pt idx="829">
                  <c:v>1.92422</c:v>
                </c:pt>
                <c:pt idx="830">
                  <c:v>2.1100099999999999</c:v>
                </c:pt>
                <c:pt idx="831">
                  <c:v>2.29454</c:v>
                </c:pt>
                <c:pt idx="832">
                  <c:v>2.4779399999999998</c:v>
                </c:pt>
                <c:pt idx="833">
                  <c:v>2.6603699999999999</c:v>
                </c:pt>
                <c:pt idx="834">
                  <c:v>2.8420100000000001</c:v>
                </c:pt>
                <c:pt idx="835">
                  <c:v>3.02291</c:v>
                </c:pt>
                <c:pt idx="836">
                  <c:v>3.1865899999999998</c:v>
                </c:pt>
                <c:pt idx="837">
                  <c:v>3.3017500000000002</c:v>
                </c:pt>
                <c:pt idx="838">
                  <c:v>3.3798300000000001</c:v>
                </c:pt>
                <c:pt idx="839">
                  <c:v>3.4408300000000001</c:v>
                </c:pt>
                <c:pt idx="840">
                  <c:v>3.4988199999999998</c:v>
                </c:pt>
                <c:pt idx="841">
                  <c:v>3.5567899999999999</c:v>
                </c:pt>
                <c:pt idx="842">
                  <c:v>3.6147499999999999</c:v>
                </c:pt>
                <c:pt idx="843">
                  <c:v>3.6726899999999998</c:v>
                </c:pt>
                <c:pt idx="844">
                  <c:v>3.7306300000000001</c:v>
                </c:pt>
                <c:pt idx="845">
                  <c:v>3.7885499999999999</c:v>
                </c:pt>
                <c:pt idx="846">
                  <c:v>3.84646</c:v>
                </c:pt>
                <c:pt idx="847">
                  <c:v>3.9043600000000001</c:v>
                </c:pt>
                <c:pt idx="848">
                  <c:v>3.96225</c:v>
                </c:pt>
                <c:pt idx="849">
                  <c:v>4.0201399999999996</c:v>
                </c:pt>
                <c:pt idx="850">
                  <c:v>4.0780099999999999</c:v>
                </c:pt>
                <c:pt idx="851">
                  <c:v>4.1356799999999998</c:v>
                </c:pt>
                <c:pt idx="852">
                  <c:v>4.1918100000000003</c:v>
                </c:pt>
                <c:pt idx="853">
                  <c:v>4.2453099999999999</c:v>
                </c:pt>
                <c:pt idx="854">
                  <c:v>4.2953099999999997</c:v>
                </c:pt>
                <c:pt idx="855">
                  <c:v>4.3449600000000004</c:v>
                </c:pt>
                <c:pt idx="856">
                  <c:v>4.3925200000000002</c:v>
                </c:pt>
                <c:pt idx="857">
                  <c:v>4.4322800000000004</c:v>
                </c:pt>
                <c:pt idx="858">
                  <c:v>4.4818899999999999</c:v>
                </c:pt>
                <c:pt idx="859">
                  <c:v>4.5709099999999996</c:v>
                </c:pt>
                <c:pt idx="860">
                  <c:v>4.6859200000000003</c:v>
                </c:pt>
                <c:pt idx="861">
                  <c:v>4.9421200000000001</c:v>
                </c:pt>
                <c:pt idx="862">
                  <c:v>5.1670499999999997</c:v>
                </c:pt>
                <c:pt idx="863">
                  <c:v>5.3829099999999999</c:v>
                </c:pt>
                <c:pt idx="864">
                  <c:v>5.5896100000000004</c:v>
                </c:pt>
                <c:pt idx="865">
                  <c:v>5.7871600000000001</c:v>
                </c:pt>
                <c:pt idx="866">
                  <c:v>5.9848100000000004</c:v>
                </c:pt>
                <c:pt idx="867">
                  <c:v>6.1824500000000002</c:v>
                </c:pt>
                <c:pt idx="868">
                  <c:v>6.38002</c:v>
                </c:pt>
                <c:pt idx="869">
                  <c:v>6.5775699999999997</c:v>
                </c:pt>
                <c:pt idx="870">
                  <c:v>6.7750300000000001</c:v>
                </c:pt>
                <c:pt idx="871">
                  <c:v>6.9724599999999999</c:v>
                </c:pt>
                <c:pt idx="872">
                  <c:v>7.16981</c:v>
                </c:pt>
                <c:pt idx="873">
                  <c:v>7.3670600000000004</c:v>
                </c:pt>
                <c:pt idx="874">
                  <c:v>7.5642500000000004</c:v>
                </c:pt>
                <c:pt idx="875">
                  <c:v>7.7549900000000003</c:v>
                </c:pt>
                <c:pt idx="876">
                  <c:v>7.9032299999999998</c:v>
                </c:pt>
                <c:pt idx="877">
                  <c:v>8.0226400000000009</c:v>
                </c:pt>
                <c:pt idx="878">
                  <c:v>8.1327599999999993</c:v>
                </c:pt>
                <c:pt idx="879">
                  <c:v>8.22912</c:v>
                </c:pt>
                <c:pt idx="880">
                  <c:v>8.3094999999999999</c:v>
                </c:pt>
                <c:pt idx="881">
                  <c:v>8.38809</c:v>
                </c:pt>
                <c:pt idx="882">
                  <c:v>8.4614999999999991</c:v>
                </c:pt>
                <c:pt idx="883">
                  <c:v>8.5349000000000004</c:v>
                </c:pt>
                <c:pt idx="884">
                  <c:v>8.6082999999999998</c:v>
                </c:pt>
                <c:pt idx="885">
                  <c:v>8.6816600000000008</c:v>
                </c:pt>
                <c:pt idx="886">
                  <c:v>8.7549799999999998</c:v>
                </c:pt>
                <c:pt idx="887">
                  <c:v>8.8282500000000006</c:v>
                </c:pt>
                <c:pt idx="888">
                  <c:v>8.90151</c:v>
                </c:pt>
                <c:pt idx="889">
                  <c:v>8.9747699999999995</c:v>
                </c:pt>
                <c:pt idx="890">
                  <c:v>9.0473599999999994</c:v>
                </c:pt>
                <c:pt idx="891">
                  <c:v>9.1077999999999992</c:v>
                </c:pt>
                <c:pt idx="892">
                  <c:v>9.1574000000000009</c:v>
                </c:pt>
                <c:pt idx="893">
                  <c:v>9.2005800000000004</c:v>
                </c:pt>
                <c:pt idx="894">
                  <c:v>9.2403099999999991</c:v>
                </c:pt>
                <c:pt idx="895">
                  <c:v>9.2784999999999993</c:v>
                </c:pt>
                <c:pt idx="896">
                  <c:v>9.3149300000000004</c:v>
                </c:pt>
                <c:pt idx="897">
                  <c:v>9.3503600000000002</c:v>
                </c:pt>
                <c:pt idx="898">
                  <c:v>9.3849300000000007</c:v>
                </c:pt>
                <c:pt idx="899">
                  <c:v>9.4183599999999998</c:v>
                </c:pt>
                <c:pt idx="900">
                  <c:v>8.9669100000000004</c:v>
                </c:pt>
                <c:pt idx="901">
                  <c:v>8.5155899999999995</c:v>
                </c:pt>
                <c:pt idx="902">
                  <c:v>8.0647900000000003</c:v>
                </c:pt>
                <c:pt idx="903">
                  <c:v>7.6151799999999996</c:v>
                </c:pt>
                <c:pt idx="904">
                  <c:v>7.1651999999999996</c:v>
                </c:pt>
                <c:pt idx="905">
                  <c:v>6.7150299999999996</c:v>
                </c:pt>
                <c:pt idx="906">
                  <c:v>6.2642300000000004</c:v>
                </c:pt>
                <c:pt idx="907">
                  <c:v>5.8125999999999998</c:v>
                </c:pt>
                <c:pt idx="908" formatCode="0.00E+00">
                  <c:v>5.3602299999999996</c:v>
                </c:pt>
                <c:pt idx="909">
                  <c:v>4.9068800000000001</c:v>
                </c:pt>
                <c:pt idx="910">
                  <c:v>4.45282</c:v>
                </c:pt>
                <c:pt idx="911">
                  <c:v>3.99946</c:v>
                </c:pt>
                <c:pt idx="912">
                  <c:v>3.5428999999999999</c:v>
                </c:pt>
                <c:pt idx="913">
                  <c:v>3.0821200000000002</c:v>
                </c:pt>
                <c:pt idx="914">
                  <c:v>2.61633</c:v>
                </c:pt>
                <c:pt idx="915">
                  <c:v>2.1374200000000001</c:v>
                </c:pt>
                <c:pt idx="916">
                  <c:v>1.6393800000000001</c:v>
                </c:pt>
                <c:pt idx="917">
                  <c:v>1.139</c:v>
                </c:pt>
                <c:pt idx="918">
                  <c:v>0.58284599999999998</c:v>
                </c:pt>
                <c:pt idx="919">
                  <c:v>-2.0843200000000002E-3</c:v>
                </c:pt>
                <c:pt idx="920">
                  <c:v>-0.54432899999999995</c:v>
                </c:pt>
                <c:pt idx="921">
                  <c:v>-0.97753999999999996</c:v>
                </c:pt>
                <c:pt idx="922">
                  <c:v>-1.29016</c:v>
                </c:pt>
                <c:pt idx="923">
                  <c:v>-1.57683</c:v>
                </c:pt>
                <c:pt idx="924">
                  <c:v>-1.8526499999999999</c:v>
                </c:pt>
                <c:pt idx="925">
                  <c:v>-2.12263</c:v>
                </c:pt>
                <c:pt idx="926">
                  <c:v>-2.38903</c:v>
                </c:pt>
                <c:pt idx="927">
                  <c:v>-2.65246</c:v>
                </c:pt>
                <c:pt idx="928">
                  <c:v>-2.9056299999999999</c:v>
                </c:pt>
                <c:pt idx="929">
                  <c:v>-3.1464099999999999</c:v>
                </c:pt>
                <c:pt idx="930">
                  <c:v>-3.3267899999999999</c:v>
                </c:pt>
                <c:pt idx="931">
                  <c:v>-3.4699300000000002</c:v>
                </c:pt>
                <c:pt idx="932">
                  <c:v>-3.5934900000000001</c:v>
                </c:pt>
                <c:pt idx="933">
                  <c:v>-3.7122999999999999</c:v>
                </c:pt>
                <c:pt idx="934">
                  <c:v>-3.8269299999999999</c:v>
                </c:pt>
                <c:pt idx="935">
                  <c:v>-3.9156599999999999</c:v>
                </c:pt>
                <c:pt idx="936">
                  <c:v>-3.9942600000000001</c:v>
                </c:pt>
                <c:pt idx="937">
                  <c:v>-4.0728400000000002</c:v>
                </c:pt>
                <c:pt idx="938">
                  <c:v>-4.1514100000000003</c:v>
                </c:pt>
                <c:pt idx="939">
                  <c:v>-4.2299699999999998</c:v>
                </c:pt>
                <c:pt idx="940">
                  <c:v>-4.3085100000000001</c:v>
                </c:pt>
                <c:pt idx="941">
                  <c:v>-4.3850199999999999</c:v>
                </c:pt>
                <c:pt idx="942">
                  <c:v>-4.4552300000000002</c:v>
                </c:pt>
                <c:pt idx="943">
                  <c:v>-4.5254300000000001</c:v>
                </c:pt>
                <c:pt idx="944">
                  <c:v>-4.57064</c:v>
                </c:pt>
                <c:pt idx="945">
                  <c:v>-4.6104099999999999</c:v>
                </c:pt>
                <c:pt idx="946">
                  <c:v>-4.6461699999999997</c:v>
                </c:pt>
                <c:pt idx="947">
                  <c:v>-4.6735800000000003</c:v>
                </c:pt>
                <c:pt idx="948">
                  <c:v>-4.6931799999999999</c:v>
                </c:pt>
                <c:pt idx="949">
                  <c:v>-4.7085499999999998</c:v>
                </c:pt>
                <c:pt idx="950">
                  <c:v>-4.7233200000000002</c:v>
                </c:pt>
                <c:pt idx="951">
                  <c:v>-4.7371999999999996</c:v>
                </c:pt>
                <c:pt idx="952">
                  <c:v>-4.7497100000000003</c:v>
                </c:pt>
                <c:pt idx="953">
                  <c:v>-4.7622200000000001</c:v>
                </c:pt>
                <c:pt idx="954">
                  <c:v>-4.7747299999999999</c:v>
                </c:pt>
                <c:pt idx="955">
                  <c:v>-4.7872399999999997</c:v>
                </c:pt>
                <c:pt idx="956">
                  <c:v>-4.7997500000000004</c:v>
                </c:pt>
                <c:pt idx="957">
                  <c:v>-4.8122699999999998</c:v>
                </c:pt>
                <c:pt idx="958">
                  <c:v>-4.8247799999999996</c:v>
                </c:pt>
                <c:pt idx="959">
                  <c:v>-4.8372900000000003</c:v>
                </c:pt>
                <c:pt idx="960">
                  <c:v>-4.8494900000000003</c:v>
                </c:pt>
                <c:pt idx="961">
                  <c:v>-4.8601599999999996</c:v>
                </c:pt>
                <c:pt idx="962">
                  <c:v>-4.8675600000000001</c:v>
                </c:pt>
                <c:pt idx="963">
                  <c:v>-4.86911</c:v>
                </c:pt>
                <c:pt idx="964">
                  <c:v>-4.8701400000000001</c:v>
                </c:pt>
                <c:pt idx="965">
                  <c:v>-4.8740600000000001</c:v>
                </c:pt>
                <c:pt idx="966">
                  <c:v>-4.8955700000000002</c:v>
                </c:pt>
                <c:pt idx="967">
                  <c:v>-4.9341999999999997</c:v>
                </c:pt>
                <c:pt idx="968">
                  <c:v>-4.98386</c:v>
                </c:pt>
                <c:pt idx="969">
                  <c:v>-5.03505</c:v>
                </c:pt>
                <c:pt idx="970">
                  <c:v>-5.0869600000000004</c:v>
                </c:pt>
                <c:pt idx="971">
                  <c:v>-5.1396899999999999</c:v>
                </c:pt>
                <c:pt idx="972">
                  <c:v>-5.1934199999999997</c:v>
                </c:pt>
                <c:pt idx="973">
                  <c:v>-5.2255500000000001</c:v>
                </c:pt>
                <c:pt idx="974">
                  <c:v>-5.2306499999999998</c:v>
                </c:pt>
                <c:pt idx="975">
                  <c:v>-5.2357699999999996</c:v>
                </c:pt>
                <c:pt idx="976">
                  <c:v>-5.2500099999999996</c:v>
                </c:pt>
                <c:pt idx="977">
                  <c:v>-5.3430600000000004</c:v>
                </c:pt>
                <c:pt idx="978">
                  <c:v>-5.4240599999999999</c:v>
                </c:pt>
                <c:pt idx="979">
                  <c:v>-5.5046299999999997</c:v>
                </c:pt>
                <c:pt idx="980">
                  <c:v>-5.5861299999999998</c:v>
                </c:pt>
                <c:pt idx="981">
                  <c:v>-5.6685400000000001</c:v>
                </c:pt>
                <c:pt idx="982">
                  <c:v>-5.7518399999999996</c:v>
                </c:pt>
                <c:pt idx="983">
                  <c:v>-5.8360799999999999</c:v>
                </c:pt>
                <c:pt idx="984">
                  <c:v>-5.9207999999999998</c:v>
                </c:pt>
                <c:pt idx="985">
                  <c:v>-6.0057200000000002</c:v>
                </c:pt>
                <c:pt idx="986">
                  <c:v>-6.0904199999999999</c:v>
                </c:pt>
                <c:pt idx="987">
                  <c:v>-6.1565099999999999</c:v>
                </c:pt>
                <c:pt idx="988">
                  <c:v>-6.1980899999999997</c:v>
                </c:pt>
                <c:pt idx="989">
                  <c:v>-6.22485</c:v>
                </c:pt>
                <c:pt idx="990">
                  <c:v>-6.2493499999999997</c:v>
                </c:pt>
                <c:pt idx="991">
                  <c:v>-6.2738399999999999</c:v>
                </c:pt>
                <c:pt idx="992">
                  <c:v>-6.2983099999999999</c:v>
                </c:pt>
                <c:pt idx="993">
                  <c:v>-6.3226300000000002</c:v>
                </c:pt>
                <c:pt idx="994">
                  <c:v>-6.3464799999999997</c:v>
                </c:pt>
                <c:pt idx="995">
                  <c:v>-6.3702199999999998</c:v>
                </c:pt>
                <c:pt idx="996">
                  <c:v>-6.3939199999999996</c:v>
                </c:pt>
                <c:pt idx="997">
                  <c:v>-6.4175899999999997</c:v>
                </c:pt>
                <c:pt idx="998">
                  <c:v>-6.4411899999999997</c:v>
                </c:pt>
                <c:pt idx="999">
                  <c:v>-6.4646600000000003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C4-48F1-8D3A-A58D81988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722880"/>
        <c:axId val="526724544"/>
      </c:scatterChart>
      <c:valAx>
        <c:axId val="52672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526724544"/>
        <c:crosses val="autoZero"/>
        <c:crossBetween val="midCat"/>
      </c:valAx>
      <c:valAx>
        <c:axId val="52672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52672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zh-H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Axial force =9875 kN</a:t>
            </a:r>
            <a:endParaRPr 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HK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Result!$E$1:$E$5000</c:f>
              <c:numCache>
                <c:formatCode>General</c:formatCode>
                <c:ptCount val="5000"/>
                <c:pt idx="0">
                  <c:v>4.6167300000000001E-2</c:v>
                </c:pt>
                <c:pt idx="1">
                  <c:v>9.6167299999999997E-2</c:v>
                </c:pt>
                <c:pt idx="2">
                  <c:v>0.14616699999999999</c:v>
                </c:pt>
                <c:pt idx="3">
                  <c:v>0.19616700000000001</c:v>
                </c:pt>
                <c:pt idx="4">
                  <c:v>0.246167</c:v>
                </c:pt>
                <c:pt idx="5">
                  <c:v>0.29616700000000001</c:v>
                </c:pt>
                <c:pt idx="6">
                  <c:v>0.346167</c:v>
                </c:pt>
                <c:pt idx="7">
                  <c:v>0.39616699999999999</c:v>
                </c:pt>
                <c:pt idx="8">
                  <c:v>0.44616699999999998</c:v>
                </c:pt>
                <c:pt idx="9">
                  <c:v>0.49616700000000002</c:v>
                </c:pt>
                <c:pt idx="10">
                  <c:v>0.54616699999999996</c:v>
                </c:pt>
                <c:pt idx="11">
                  <c:v>0.596167</c:v>
                </c:pt>
                <c:pt idx="12">
                  <c:v>0.64616700000000005</c:v>
                </c:pt>
                <c:pt idx="13">
                  <c:v>0.69616699999999998</c:v>
                </c:pt>
                <c:pt idx="14">
                  <c:v>0.74616700000000002</c:v>
                </c:pt>
                <c:pt idx="15">
                  <c:v>0.79616699999999996</c:v>
                </c:pt>
                <c:pt idx="16">
                  <c:v>0.846167</c:v>
                </c:pt>
                <c:pt idx="17">
                  <c:v>0.89616700000000005</c:v>
                </c:pt>
                <c:pt idx="18">
                  <c:v>0.94616699999999998</c:v>
                </c:pt>
                <c:pt idx="19">
                  <c:v>0.99616700000000002</c:v>
                </c:pt>
                <c:pt idx="20">
                  <c:v>1.04617</c:v>
                </c:pt>
                <c:pt idx="21">
                  <c:v>1.0961700000000001</c:v>
                </c:pt>
                <c:pt idx="22">
                  <c:v>1.1461699999999999</c:v>
                </c:pt>
                <c:pt idx="23">
                  <c:v>1.19617</c:v>
                </c:pt>
                <c:pt idx="24">
                  <c:v>1.24617</c:v>
                </c:pt>
                <c:pt idx="25">
                  <c:v>1.29617</c:v>
                </c:pt>
                <c:pt idx="26">
                  <c:v>1.3461700000000001</c:v>
                </c:pt>
                <c:pt idx="27">
                  <c:v>1.3961699999999999</c:v>
                </c:pt>
                <c:pt idx="28">
                  <c:v>1.44617</c:v>
                </c:pt>
                <c:pt idx="29">
                  <c:v>1.49617</c:v>
                </c:pt>
                <c:pt idx="30">
                  <c:v>1.54617</c:v>
                </c:pt>
                <c:pt idx="31">
                  <c:v>1.5961700000000001</c:v>
                </c:pt>
                <c:pt idx="32">
                  <c:v>1.6461699999999999</c:v>
                </c:pt>
                <c:pt idx="33">
                  <c:v>1.69617</c:v>
                </c:pt>
                <c:pt idx="34">
                  <c:v>1.74617</c:v>
                </c:pt>
                <c:pt idx="35">
                  <c:v>1.79617</c:v>
                </c:pt>
                <c:pt idx="36">
                  <c:v>1.8461700000000001</c:v>
                </c:pt>
                <c:pt idx="37">
                  <c:v>1.8961699999999999</c:v>
                </c:pt>
                <c:pt idx="38">
                  <c:v>1.94617</c:v>
                </c:pt>
                <c:pt idx="39">
                  <c:v>1.99617</c:v>
                </c:pt>
                <c:pt idx="40">
                  <c:v>2.04617</c:v>
                </c:pt>
                <c:pt idx="41">
                  <c:v>2.0961699999999999</c:v>
                </c:pt>
                <c:pt idx="42">
                  <c:v>2.1461700000000001</c:v>
                </c:pt>
                <c:pt idx="43">
                  <c:v>2.19617</c:v>
                </c:pt>
                <c:pt idx="44">
                  <c:v>2.2461700000000002</c:v>
                </c:pt>
                <c:pt idx="45">
                  <c:v>2.29617</c:v>
                </c:pt>
                <c:pt idx="46">
                  <c:v>2.3461699999999999</c:v>
                </c:pt>
                <c:pt idx="47">
                  <c:v>2.3961700000000001</c:v>
                </c:pt>
                <c:pt idx="48">
                  <c:v>2.44617</c:v>
                </c:pt>
                <c:pt idx="49">
                  <c:v>2.4961700000000002</c:v>
                </c:pt>
                <c:pt idx="50">
                  <c:v>2.54617</c:v>
                </c:pt>
                <c:pt idx="51">
                  <c:v>2.5961699999999999</c:v>
                </c:pt>
                <c:pt idx="52">
                  <c:v>2.6461700000000001</c:v>
                </c:pt>
                <c:pt idx="53">
                  <c:v>2.69617</c:v>
                </c:pt>
                <c:pt idx="54">
                  <c:v>2.7461700000000002</c:v>
                </c:pt>
                <c:pt idx="55">
                  <c:v>2.79617</c:v>
                </c:pt>
                <c:pt idx="56">
                  <c:v>2.8461699999999999</c:v>
                </c:pt>
                <c:pt idx="57">
                  <c:v>2.8961700000000001</c:v>
                </c:pt>
                <c:pt idx="58">
                  <c:v>2.94617</c:v>
                </c:pt>
                <c:pt idx="59">
                  <c:v>2.9961700000000002</c:v>
                </c:pt>
                <c:pt idx="60">
                  <c:v>3.04617</c:v>
                </c:pt>
                <c:pt idx="61">
                  <c:v>3.0961699999999999</c:v>
                </c:pt>
                <c:pt idx="62">
                  <c:v>3.1461700000000001</c:v>
                </c:pt>
                <c:pt idx="63">
                  <c:v>3.19617</c:v>
                </c:pt>
                <c:pt idx="64">
                  <c:v>3.2461700000000002</c:v>
                </c:pt>
                <c:pt idx="65">
                  <c:v>3.29617</c:v>
                </c:pt>
                <c:pt idx="66">
                  <c:v>3.3461699999999999</c:v>
                </c:pt>
                <c:pt idx="67">
                  <c:v>3.3961700000000001</c:v>
                </c:pt>
                <c:pt idx="68">
                  <c:v>3.44617</c:v>
                </c:pt>
                <c:pt idx="69">
                  <c:v>3.4961700000000002</c:v>
                </c:pt>
                <c:pt idx="70">
                  <c:v>3.54617</c:v>
                </c:pt>
                <c:pt idx="71">
                  <c:v>3.5961699999999999</c:v>
                </c:pt>
                <c:pt idx="72">
                  <c:v>3.6461700000000001</c:v>
                </c:pt>
                <c:pt idx="73">
                  <c:v>3.69617</c:v>
                </c:pt>
                <c:pt idx="74">
                  <c:v>3.7461700000000002</c:v>
                </c:pt>
                <c:pt idx="75">
                  <c:v>3.79617</c:v>
                </c:pt>
                <c:pt idx="76">
                  <c:v>3.8461699999999999</c:v>
                </c:pt>
                <c:pt idx="77">
                  <c:v>3.8961700000000001</c:v>
                </c:pt>
                <c:pt idx="78">
                  <c:v>3.94617</c:v>
                </c:pt>
                <c:pt idx="79">
                  <c:v>3.9961700000000002</c:v>
                </c:pt>
                <c:pt idx="80">
                  <c:v>4.04617</c:v>
                </c:pt>
                <c:pt idx="81">
                  <c:v>4.0961699999999999</c:v>
                </c:pt>
                <c:pt idx="82">
                  <c:v>4.1461699999999997</c:v>
                </c:pt>
                <c:pt idx="83">
                  <c:v>4.1961700000000004</c:v>
                </c:pt>
                <c:pt idx="84">
                  <c:v>4.2461700000000002</c:v>
                </c:pt>
                <c:pt idx="85">
                  <c:v>4.29617</c:v>
                </c:pt>
                <c:pt idx="86">
                  <c:v>4.3461699999999999</c:v>
                </c:pt>
                <c:pt idx="87">
                  <c:v>4.3961699999999997</c:v>
                </c:pt>
                <c:pt idx="88">
                  <c:v>4.4461700000000004</c:v>
                </c:pt>
                <c:pt idx="89">
                  <c:v>4.4961700000000002</c:v>
                </c:pt>
                <c:pt idx="90">
                  <c:v>4.54617</c:v>
                </c:pt>
                <c:pt idx="91">
                  <c:v>4.5961699999999999</c:v>
                </c:pt>
                <c:pt idx="92">
                  <c:v>4.6461699999999997</c:v>
                </c:pt>
                <c:pt idx="93">
                  <c:v>4.6961700000000004</c:v>
                </c:pt>
                <c:pt idx="94">
                  <c:v>4.7461700000000002</c:v>
                </c:pt>
                <c:pt idx="95">
                  <c:v>4.79617</c:v>
                </c:pt>
                <c:pt idx="96">
                  <c:v>4.8461699999999999</c:v>
                </c:pt>
                <c:pt idx="97">
                  <c:v>4.8961699999999997</c:v>
                </c:pt>
                <c:pt idx="98">
                  <c:v>4.9461700000000004</c:v>
                </c:pt>
                <c:pt idx="99">
                  <c:v>4.9961700000000002</c:v>
                </c:pt>
                <c:pt idx="100">
                  <c:v>4.8961699999999997</c:v>
                </c:pt>
                <c:pt idx="101">
                  <c:v>4.79617</c:v>
                </c:pt>
                <c:pt idx="102">
                  <c:v>4.6961700000000004</c:v>
                </c:pt>
                <c:pt idx="103">
                  <c:v>4.5961699999999999</c:v>
                </c:pt>
                <c:pt idx="104">
                  <c:v>4.4961700000000002</c:v>
                </c:pt>
                <c:pt idx="105">
                  <c:v>4.3961699999999997</c:v>
                </c:pt>
                <c:pt idx="106">
                  <c:v>4.29617</c:v>
                </c:pt>
                <c:pt idx="107">
                  <c:v>4.1961700000000004</c:v>
                </c:pt>
                <c:pt idx="108">
                  <c:v>4.0961699999999999</c:v>
                </c:pt>
                <c:pt idx="109">
                  <c:v>3.9961700000000002</c:v>
                </c:pt>
                <c:pt idx="110">
                  <c:v>3.8961700000000001</c:v>
                </c:pt>
                <c:pt idx="111">
                  <c:v>3.79617</c:v>
                </c:pt>
                <c:pt idx="112">
                  <c:v>3.69617</c:v>
                </c:pt>
                <c:pt idx="113">
                  <c:v>3.5961699999999999</c:v>
                </c:pt>
                <c:pt idx="114">
                  <c:v>3.4961700000000002</c:v>
                </c:pt>
                <c:pt idx="115">
                  <c:v>3.3961700000000001</c:v>
                </c:pt>
                <c:pt idx="116">
                  <c:v>3.29617</c:v>
                </c:pt>
                <c:pt idx="117">
                  <c:v>3.19617</c:v>
                </c:pt>
                <c:pt idx="118">
                  <c:v>3.0961699999999999</c:v>
                </c:pt>
                <c:pt idx="119">
                  <c:v>2.9961700000000002</c:v>
                </c:pt>
                <c:pt idx="120">
                  <c:v>2.8961700000000001</c:v>
                </c:pt>
                <c:pt idx="121">
                  <c:v>2.79617</c:v>
                </c:pt>
                <c:pt idx="122">
                  <c:v>2.69617</c:v>
                </c:pt>
                <c:pt idx="123">
                  <c:v>2.5961699999999999</c:v>
                </c:pt>
                <c:pt idx="124">
                  <c:v>2.4961700000000002</c:v>
                </c:pt>
                <c:pt idx="125">
                  <c:v>2.3961700000000001</c:v>
                </c:pt>
                <c:pt idx="126">
                  <c:v>2.29617</c:v>
                </c:pt>
                <c:pt idx="127">
                  <c:v>2.19617</c:v>
                </c:pt>
                <c:pt idx="128">
                  <c:v>2.0961699999999999</c:v>
                </c:pt>
                <c:pt idx="129">
                  <c:v>1.99617</c:v>
                </c:pt>
                <c:pt idx="130">
                  <c:v>1.8961699999999999</c:v>
                </c:pt>
                <c:pt idx="131">
                  <c:v>1.79617</c:v>
                </c:pt>
                <c:pt idx="132">
                  <c:v>1.69617</c:v>
                </c:pt>
                <c:pt idx="133">
                  <c:v>1.5961700000000001</c:v>
                </c:pt>
                <c:pt idx="134">
                  <c:v>1.49617</c:v>
                </c:pt>
                <c:pt idx="135">
                  <c:v>1.3961699999999999</c:v>
                </c:pt>
                <c:pt idx="136">
                  <c:v>1.29617</c:v>
                </c:pt>
                <c:pt idx="137">
                  <c:v>1.19617</c:v>
                </c:pt>
                <c:pt idx="138">
                  <c:v>1.0961700000000001</c:v>
                </c:pt>
                <c:pt idx="139">
                  <c:v>0.99616700000000002</c:v>
                </c:pt>
                <c:pt idx="140">
                  <c:v>0.89616700000000005</c:v>
                </c:pt>
                <c:pt idx="141">
                  <c:v>0.79616699999999996</c:v>
                </c:pt>
                <c:pt idx="142">
                  <c:v>0.69616699999999998</c:v>
                </c:pt>
                <c:pt idx="143">
                  <c:v>0.596167</c:v>
                </c:pt>
                <c:pt idx="144">
                  <c:v>0.49616700000000002</c:v>
                </c:pt>
                <c:pt idx="145">
                  <c:v>0.39616699999999999</c:v>
                </c:pt>
                <c:pt idx="146">
                  <c:v>0.29616700000000001</c:v>
                </c:pt>
                <c:pt idx="147">
                  <c:v>0.19616700000000001</c:v>
                </c:pt>
                <c:pt idx="148">
                  <c:v>9.6167299999999997E-2</c:v>
                </c:pt>
                <c:pt idx="149">
                  <c:v>-3.83271E-3</c:v>
                </c:pt>
                <c:pt idx="150">
                  <c:v>-0.10383299999999999</c:v>
                </c:pt>
                <c:pt idx="151">
                  <c:v>-0.20383299999999999</c:v>
                </c:pt>
                <c:pt idx="152">
                  <c:v>-0.30383300000000002</c:v>
                </c:pt>
                <c:pt idx="153">
                  <c:v>-0.403833</c:v>
                </c:pt>
                <c:pt idx="154">
                  <c:v>-0.50383299999999998</c:v>
                </c:pt>
                <c:pt idx="155">
                  <c:v>-0.60383299999999995</c:v>
                </c:pt>
                <c:pt idx="156">
                  <c:v>-0.70383300000000004</c:v>
                </c:pt>
                <c:pt idx="157">
                  <c:v>-0.80383300000000002</c:v>
                </c:pt>
                <c:pt idx="158">
                  <c:v>-0.903833</c:v>
                </c:pt>
                <c:pt idx="159">
                  <c:v>-1.00383</c:v>
                </c:pt>
                <c:pt idx="160">
                  <c:v>-1.1038300000000001</c:v>
                </c:pt>
                <c:pt idx="161">
                  <c:v>-1.20383</c:v>
                </c:pt>
                <c:pt idx="162">
                  <c:v>-1.30383</c:v>
                </c:pt>
                <c:pt idx="163">
                  <c:v>-1.4038299999999999</c:v>
                </c:pt>
                <c:pt idx="164">
                  <c:v>-1.50383</c:v>
                </c:pt>
                <c:pt idx="165">
                  <c:v>-1.6038300000000001</c:v>
                </c:pt>
                <c:pt idx="166">
                  <c:v>-1.70383</c:v>
                </c:pt>
                <c:pt idx="167">
                  <c:v>-1.80383</c:v>
                </c:pt>
                <c:pt idx="168">
                  <c:v>-1.9038299999999999</c:v>
                </c:pt>
                <c:pt idx="169">
                  <c:v>-2.0038299999999998</c:v>
                </c:pt>
                <c:pt idx="170">
                  <c:v>-2.1038299999999999</c:v>
                </c:pt>
                <c:pt idx="171">
                  <c:v>-2.20383</c:v>
                </c:pt>
                <c:pt idx="172">
                  <c:v>-2.30383</c:v>
                </c:pt>
                <c:pt idx="173">
                  <c:v>-2.4038300000000001</c:v>
                </c:pt>
                <c:pt idx="174">
                  <c:v>-2.5038299999999998</c:v>
                </c:pt>
                <c:pt idx="175">
                  <c:v>-2.6038299999999999</c:v>
                </c:pt>
                <c:pt idx="176">
                  <c:v>-2.70383</c:v>
                </c:pt>
                <c:pt idx="177">
                  <c:v>-2.80383</c:v>
                </c:pt>
                <c:pt idx="178">
                  <c:v>-2.9038300000000001</c:v>
                </c:pt>
                <c:pt idx="179">
                  <c:v>-3.0038299999999998</c:v>
                </c:pt>
                <c:pt idx="180">
                  <c:v>-3.1038299999999999</c:v>
                </c:pt>
                <c:pt idx="181">
                  <c:v>-3.20383</c:v>
                </c:pt>
                <c:pt idx="182">
                  <c:v>-3.30383</c:v>
                </c:pt>
                <c:pt idx="183">
                  <c:v>-3.4038300000000001</c:v>
                </c:pt>
                <c:pt idx="184">
                  <c:v>-3.5038299999999998</c:v>
                </c:pt>
                <c:pt idx="185">
                  <c:v>-3.6038299999999999</c:v>
                </c:pt>
                <c:pt idx="186">
                  <c:v>-3.70383</c:v>
                </c:pt>
                <c:pt idx="187">
                  <c:v>-3.80383</c:v>
                </c:pt>
                <c:pt idx="188">
                  <c:v>-3.9038300000000001</c:v>
                </c:pt>
                <c:pt idx="189">
                  <c:v>-4.0038299999999998</c:v>
                </c:pt>
                <c:pt idx="190">
                  <c:v>-4.1038300000000003</c:v>
                </c:pt>
                <c:pt idx="191">
                  <c:v>-4.20383</c:v>
                </c:pt>
                <c:pt idx="192">
                  <c:v>-4.3038299999999996</c:v>
                </c:pt>
                <c:pt idx="193">
                  <c:v>-4.4038300000000001</c:v>
                </c:pt>
                <c:pt idx="194">
                  <c:v>-4.5038299999999998</c:v>
                </c:pt>
                <c:pt idx="195">
                  <c:v>-4.6038300000000003</c:v>
                </c:pt>
                <c:pt idx="196">
                  <c:v>-4.70383</c:v>
                </c:pt>
                <c:pt idx="197">
                  <c:v>-4.8038299999999996</c:v>
                </c:pt>
                <c:pt idx="198">
                  <c:v>-4.9038300000000001</c:v>
                </c:pt>
                <c:pt idx="199">
                  <c:v>-5.0038299999999998</c:v>
                </c:pt>
                <c:pt idx="200">
                  <c:v>-4.8538300000000003</c:v>
                </c:pt>
                <c:pt idx="201">
                  <c:v>-4.70383</c:v>
                </c:pt>
                <c:pt idx="202">
                  <c:v>-4.5538299999999996</c:v>
                </c:pt>
                <c:pt idx="203">
                  <c:v>-4.4038300000000001</c:v>
                </c:pt>
                <c:pt idx="204">
                  <c:v>-4.2538299999999998</c:v>
                </c:pt>
                <c:pt idx="205">
                  <c:v>-4.1038300000000003</c:v>
                </c:pt>
                <c:pt idx="206">
                  <c:v>-3.95383</c:v>
                </c:pt>
                <c:pt idx="207">
                  <c:v>-3.80383</c:v>
                </c:pt>
                <c:pt idx="208">
                  <c:v>-3.6538300000000001</c:v>
                </c:pt>
                <c:pt idx="209">
                  <c:v>-3.5038299999999998</c:v>
                </c:pt>
                <c:pt idx="210">
                  <c:v>-3.3538299999999999</c:v>
                </c:pt>
                <c:pt idx="211">
                  <c:v>-3.20383</c:v>
                </c:pt>
                <c:pt idx="212">
                  <c:v>-3.05383</c:v>
                </c:pt>
                <c:pt idx="213">
                  <c:v>-2.9038300000000001</c:v>
                </c:pt>
                <c:pt idx="214">
                  <c:v>-2.7538299999999998</c:v>
                </c:pt>
                <c:pt idx="215">
                  <c:v>-2.6038299999999999</c:v>
                </c:pt>
                <c:pt idx="216">
                  <c:v>-2.45383</c:v>
                </c:pt>
                <c:pt idx="217">
                  <c:v>-2.30383</c:v>
                </c:pt>
                <c:pt idx="218">
                  <c:v>-2.1538300000000001</c:v>
                </c:pt>
                <c:pt idx="219">
                  <c:v>-2.0038299999999998</c:v>
                </c:pt>
                <c:pt idx="220">
                  <c:v>-1.8538300000000001</c:v>
                </c:pt>
                <c:pt idx="221">
                  <c:v>-1.70383</c:v>
                </c:pt>
                <c:pt idx="222">
                  <c:v>-1.55383</c:v>
                </c:pt>
                <c:pt idx="223">
                  <c:v>-1.4038299999999999</c:v>
                </c:pt>
                <c:pt idx="224">
                  <c:v>-1.25383</c:v>
                </c:pt>
                <c:pt idx="225">
                  <c:v>-1.1038300000000001</c:v>
                </c:pt>
                <c:pt idx="226">
                  <c:v>-0.95383300000000004</c:v>
                </c:pt>
                <c:pt idx="227">
                  <c:v>-0.80383300000000002</c:v>
                </c:pt>
                <c:pt idx="228">
                  <c:v>-0.653833</c:v>
                </c:pt>
                <c:pt idx="229">
                  <c:v>-0.50383299999999998</c:v>
                </c:pt>
                <c:pt idx="230">
                  <c:v>-0.35383300000000001</c:v>
                </c:pt>
                <c:pt idx="231">
                  <c:v>-0.20383299999999999</c:v>
                </c:pt>
                <c:pt idx="232">
                  <c:v>-5.3832699999999997E-2</c:v>
                </c:pt>
                <c:pt idx="233">
                  <c:v>9.6167299999999997E-2</c:v>
                </c:pt>
                <c:pt idx="234">
                  <c:v>0.246167</c:v>
                </c:pt>
                <c:pt idx="235">
                  <c:v>0.39616699999999999</c:v>
                </c:pt>
                <c:pt idx="236">
                  <c:v>0.54616699999999996</c:v>
                </c:pt>
                <c:pt idx="237">
                  <c:v>0.69616699999999998</c:v>
                </c:pt>
                <c:pt idx="238">
                  <c:v>0.846167</c:v>
                </c:pt>
                <c:pt idx="239">
                  <c:v>0.99616700000000002</c:v>
                </c:pt>
                <c:pt idx="240">
                  <c:v>1.1461699999999999</c:v>
                </c:pt>
                <c:pt idx="241">
                  <c:v>1.29617</c:v>
                </c:pt>
                <c:pt idx="242">
                  <c:v>1.44617</c:v>
                </c:pt>
                <c:pt idx="243">
                  <c:v>1.5961700000000001</c:v>
                </c:pt>
                <c:pt idx="244">
                  <c:v>1.74617</c:v>
                </c:pt>
                <c:pt idx="245">
                  <c:v>1.8961699999999999</c:v>
                </c:pt>
                <c:pt idx="246">
                  <c:v>2.04617</c:v>
                </c:pt>
                <c:pt idx="247">
                  <c:v>2.19617</c:v>
                </c:pt>
                <c:pt idx="248">
                  <c:v>2.3461699999999999</c:v>
                </c:pt>
                <c:pt idx="249">
                  <c:v>2.4961700000000002</c:v>
                </c:pt>
                <c:pt idx="250">
                  <c:v>2.6461700000000001</c:v>
                </c:pt>
                <c:pt idx="251">
                  <c:v>2.79617</c:v>
                </c:pt>
                <c:pt idx="252">
                  <c:v>2.94617</c:v>
                </c:pt>
                <c:pt idx="253">
                  <c:v>3.0961699999999999</c:v>
                </c:pt>
                <c:pt idx="254">
                  <c:v>3.2461700000000002</c:v>
                </c:pt>
                <c:pt idx="255">
                  <c:v>3.3961700000000001</c:v>
                </c:pt>
                <c:pt idx="256">
                  <c:v>3.54617</c:v>
                </c:pt>
                <c:pt idx="257">
                  <c:v>3.69617</c:v>
                </c:pt>
                <c:pt idx="258">
                  <c:v>3.8461699999999999</c:v>
                </c:pt>
                <c:pt idx="259">
                  <c:v>3.9961700000000002</c:v>
                </c:pt>
                <c:pt idx="260">
                  <c:v>4.1461699999999997</c:v>
                </c:pt>
                <c:pt idx="261">
                  <c:v>4.29617</c:v>
                </c:pt>
                <c:pt idx="262">
                  <c:v>4.4461700000000004</c:v>
                </c:pt>
                <c:pt idx="263">
                  <c:v>4.5961699999999999</c:v>
                </c:pt>
                <c:pt idx="264">
                  <c:v>4.7461700000000002</c:v>
                </c:pt>
                <c:pt idx="265">
                  <c:v>4.8961699999999997</c:v>
                </c:pt>
                <c:pt idx="266">
                  <c:v>5.04617</c:v>
                </c:pt>
                <c:pt idx="267">
                  <c:v>5.1961700000000004</c:v>
                </c:pt>
                <c:pt idx="268">
                  <c:v>5.3461699999999999</c:v>
                </c:pt>
                <c:pt idx="269">
                  <c:v>5.4961700000000002</c:v>
                </c:pt>
                <c:pt idx="270">
                  <c:v>5.6461699999999997</c:v>
                </c:pt>
                <c:pt idx="271">
                  <c:v>5.79617</c:v>
                </c:pt>
                <c:pt idx="272">
                  <c:v>5.9461700000000004</c:v>
                </c:pt>
                <c:pt idx="273">
                  <c:v>6.0961699999999999</c:v>
                </c:pt>
                <c:pt idx="274">
                  <c:v>6.2461700000000002</c:v>
                </c:pt>
                <c:pt idx="275">
                  <c:v>6.3961699999999997</c:v>
                </c:pt>
                <c:pt idx="276">
                  <c:v>6.54617</c:v>
                </c:pt>
                <c:pt idx="277">
                  <c:v>6.6961700000000004</c:v>
                </c:pt>
                <c:pt idx="278">
                  <c:v>6.8461699999999999</c:v>
                </c:pt>
                <c:pt idx="279">
                  <c:v>6.9961700000000002</c:v>
                </c:pt>
                <c:pt idx="280">
                  <c:v>7.1461699999999997</c:v>
                </c:pt>
                <c:pt idx="281">
                  <c:v>7.29617</c:v>
                </c:pt>
                <c:pt idx="282">
                  <c:v>7.4461700000000004</c:v>
                </c:pt>
                <c:pt idx="283">
                  <c:v>7.5961699999999999</c:v>
                </c:pt>
                <c:pt idx="284">
                  <c:v>7.7461700000000002</c:v>
                </c:pt>
                <c:pt idx="285">
                  <c:v>7.8961699999999997</c:v>
                </c:pt>
                <c:pt idx="286">
                  <c:v>8.04617</c:v>
                </c:pt>
                <c:pt idx="287">
                  <c:v>8.1961700000000004</c:v>
                </c:pt>
                <c:pt idx="288">
                  <c:v>8.3461700000000008</c:v>
                </c:pt>
                <c:pt idx="289">
                  <c:v>8.4961699999999993</c:v>
                </c:pt>
                <c:pt idx="290">
                  <c:v>8.6461699999999997</c:v>
                </c:pt>
                <c:pt idx="291">
                  <c:v>8.79617</c:v>
                </c:pt>
                <c:pt idx="292">
                  <c:v>8.9461700000000004</c:v>
                </c:pt>
                <c:pt idx="293">
                  <c:v>9.0961700000000008</c:v>
                </c:pt>
                <c:pt idx="294">
                  <c:v>9.2461699999999993</c:v>
                </c:pt>
                <c:pt idx="295">
                  <c:v>9.3961699999999997</c:v>
                </c:pt>
                <c:pt idx="296">
                  <c:v>9.54617</c:v>
                </c:pt>
                <c:pt idx="297">
                  <c:v>9.6961700000000004</c:v>
                </c:pt>
                <c:pt idx="298">
                  <c:v>9.8461700000000008</c:v>
                </c:pt>
                <c:pt idx="299">
                  <c:v>9.9961699999999993</c:v>
                </c:pt>
                <c:pt idx="300">
                  <c:v>9.79617</c:v>
                </c:pt>
                <c:pt idx="301">
                  <c:v>9.5961700000000008</c:v>
                </c:pt>
                <c:pt idx="302">
                  <c:v>9.3961699999999997</c:v>
                </c:pt>
                <c:pt idx="303">
                  <c:v>9.1961700000000004</c:v>
                </c:pt>
                <c:pt idx="304">
                  <c:v>8.9961699999999993</c:v>
                </c:pt>
                <c:pt idx="305">
                  <c:v>8.79617</c:v>
                </c:pt>
                <c:pt idx="306">
                  <c:v>8.5961700000000008</c:v>
                </c:pt>
                <c:pt idx="307">
                  <c:v>8.3961699999999997</c:v>
                </c:pt>
                <c:pt idx="308">
                  <c:v>8.1961700000000004</c:v>
                </c:pt>
                <c:pt idx="309">
                  <c:v>7.9961700000000002</c:v>
                </c:pt>
                <c:pt idx="310">
                  <c:v>7.79617</c:v>
                </c:pt>
                <c:pt idx="311">
                  <c:v>7.5961699999999999</c:v>
                </c:pt>
                <c:pt idx="312">
                  <c:v>7.3961699999999997</c:v>
                </c:pt>
                <c:pt idx="313">
                  <c:v>7.1961700000000004</c:v>
                </c:pt>
                <c:pt idx="314">
                  <c:v>6.9961700000000002</c:v>
                </c:pt>
                <c:pt idx="315">
                  <c:v>6.79617</c:v>
                </c:pt>
                <c:pt idx="316">
                  <c:v>6.5961699999999999</c:v>
                </c:pt>
                <c:pt idx="317">
                  <c:v>6.3961699999999997</c:v>
                </c:pt>
                <c:pt idx="318">
                  <c:v>6.1961700000000004</c:v>
                </c:pt>
                <c:pt idx="319">
                  <c:v>5.9961700000000002</c:v>
                </c:pt>
                <c:pt idx="320">
                  <c:v>5.79617</c:v>
                </c:pt>
                <c:pt idx="321">
                  <c:v>5.5961699999999999</c:v>
                </c:pt>
                <c:pt idx="322">
                  <c:v>5.3961699999999997</c:v>
                </c:pt>
                <c:pt idx="323">
                  <c:v>5.1961700000000004</c:v>
                </c:pt>
                <c:pt idx="324">
                  <c:v>4.9961700000000002</c:v>
                </c:pt>
                <c:pt idx="325">
                  <c:v>4.79617</c:v>
                </c:pt>
                <c:pt idx="326">
                  <c:v>4.5961699999999999</c:v>
                </c:pt>
                <c:pt idx="327">
                  <c:v>4.3961699999999997</c:v>
                </c:pt>
                <c:pt idx="328">
                  <c:v>4.1961700000000004</c:v>
                </c:pt>
                <c:pt idx="329">
                  <c:v>3.9961700000000002</c:v>
                </c:pt>
                <c:pt idx="330">
                  <c:v>3.79617</c:v>
                </c:pt>
                <c:pt idx="331">
                  <c:v>3.5961699999999999</c:v>
                </c:pt>
                <c:pt idx="332">
                  <c:v>3.3961700000000001</c:v>
                </c:pt>
                <c:pt idx="333">
                  <c:v>3.19617</c:v>
                </c:pt>
                <c:pt idx="334">
                  <c:v>2.9961700000000002</c:v>
                </c:pt>
                <c:pt idx="335">
                  <c:v>2.79617</c:v>
                </c:pt>
                <c:pt idx="336">
                  <c:v>2.5961699999999999</c:v>
                </c:pt>
                <c:pt idx="337">
                  <c:v>2.3961700000000001</c:v>
                </c:pt>
                <c:pt idx="338">
                  <c:v>2.19617</c:v>
                </c:pt>
                <c:pt idx="339">
                  <c:v>1.99617</c:v>
                </c:pt>
                <c:pt idx="340">
                  <c:v>1.79617</c:v>
                </c:pt>
                <c:pt idx="341">
                  <c:v>1.5961700000000001</c:v>
                </c:pt>
                <c:pt idx="342">
                  <c:v>1.3961699999999999</c:v>
                </c:pt>
                <c:pt idx="343">
                  <c:v>1.19617</c:v>
                </c:pt>
                <c:pt idx="344">
                  <c:v>0.99616700000000002</c:v>
                </c:pt>
                <c:pt idx="345">
                  <c:v>0.79616699999999996</c:v>
                </c:pt>
                <c:pt idx="346">
                  <c:v>0.596167</c:v>
                </c:pt>
                <c:pt idx="347">
                  <c:v>0.39616699999999999</c:v>
                </c:pt>
                <c:pt idx="348">
                  <c:v>0.19616700000000001</c:v>
                </c:pt>
                <c:pt idx="349">
                  <c:v>-3.83271E-3</c:v>
                </c:pt>
                <c:pt idx="350">
                  <c:v>-0.20383299999999999</c:v>
                </c:pt>
                <c:pt idx="351">
                  <c:v>-0.403833</c:v>
                </c:pt>
                <c:pt idx="352">
                  <c:v>-0.60383299999999995</c:v>
                </c:pt>
                <c:pt idx="353">
                  <c:v>-0.80383300000000002</c:v>
                </c:pt>
                <c:pt idx="354">
                  <c:v>-1.00383</c:v>
                </c:pt>
                <c:pt idx="355">
                  <c:v>-1.20383</c:v>
                </c:pt>
                <c:pt idx="356">
                  <c:v>-1.4038299999999999</c:v>
                </c:pt>
                <c:pt idx="357">
                  <c:v>-1.6038300000000001</c:v>
                </c:pt>
                <c:pt idx="358">
                  <c:v>-1.80383</c:v>
                </c:pt>
                <c:pt idx="359">
                  <c:v>-2.0038299999999998</c:v>
                </c:pt>
                <c:pt idx="360">
                  <c:v>-2.20383</c:v>
                </c:pt>
                <c:pt idx="361">
                  <c:v>-2.4038300000000001</c:v>
                </c:pt>
                <c:pt idx="362">
                  <c:v>-2.6038299999999999</c:v>
                </c:pt>
                <c:pt idx="363">
                  <c:v>-2.80383</c:v>
                </c:pt>
                <c:pt idx="364">
                  <c:v>-3.0038299999999998</c:v>
                </c:pt>
                <c:pt idx="365">
                  <c:v>-3.20383</c:v>
                </c:pt>
                <c:pt idx="366">
                  <c:v>-3.4038300000000001</c:v>
                </c:pt>
                <c:pt idx="367">
                  <c:v>-3.6038299999999999</c:v>
                </c:pt>
                <c:pt idx="368">
                  <c:v>-3.80383</c:v>
                </c:pt>
                <c:pt idx="369">
                  <c:v>-4.0038299999999998</c:v>
                </c:pt>
                <c:pt idx="370">
                  <c:v>-4.20383</c:v>
                </c:pt>
                <c:pt idx="371">
                  <c:v>-4.4038300000000001</c:v>
                </c:pt>
                <c:pt idx="372">
                  <c:v>-4.6038300000000003</c:v>
                </c:pt>
                <c:pt idx="373">
                  <c:v>-4.8038299999999996</c:v>
                </c:pt>
                <c:pt idx="374">
                  <c:v>-5.0038299999999998</c:v>
                </c:pt>
                <c:pt idx="375">
                  <c:v>-5.20383</c:v>
                </c:pt>
                <c:pt idx="376">
                  <c:v>-5.4038300000000001</c:v>
                </c:pt>
                <c:pt idx="377">
                  <c:v>-5.6038300000000003</c:v>
                </c:pt>
                <c:pt idx="378">
                  <c:v>-5.8038299999999996</c:v>
                </c:pt>
                <c:pt idx="379">
                  <c:v>-6.0038299999999998</c:v>
                </c:pt>
                <c:pt idx="380">
                  <c:v>-6.20383</c:v>
                </c:pt>
                <c:pt idx="381">
                  <c:v>-6.4038300000000001</c:v>
                </c:pt>
                <c:pt idx="382">
                  <c:v>-6.6038300000000003</c:v>
                </c:pt>
                <c:pt idx="383">
                  <c:v>-6.8038299999999996</c:v>
                </c:pt>
                <c:pt idx="384">
                  <c:v>-7.0038299999999998</c:v>
                </c:pt>
                <c:pt idx="385">
                  <c:v>-7.20383</c:v>
                </c:pt>
                <c:pt idx="386">
                  <c:v>-7.4038300000000001</c:v>
                </c:pt>
                <c:pt idx="387">
                  <c:v>-7.6038300000000003</c:v>
                </c:pt>
                <c:pt idx="388">
                  <c:v>-7.8038299999999996</c:v>
                </c:pt>
                <c:pt idx="389">
                  <c:v>-8.0038300000000007</c:v>
                </c:pt>
                <c:pt idx="390">
                  <c:v>-8.20383</c:v>
                </c:pt>
                <c:pt idx="391">
                  <c:v>-8.4038299999999992</c:v>
                </c:pt>
                <c:pt idx="392">
                  <c:v>-8.6038300000000003</c:v>
                </c:pt>
                <c:pt idx="393">
                  <c:v>-8.8038299999999996</c:v>
                </c:pt>
                <c:pt idx="394">
                  <c:v>-9.0038300000000007</c:v>
                </c:pt>
                <c:pt idx="395">
                  <c:v>-9.20383</c:v>
                </c:pt>
                <c:pt idx="396">
                  <c:v>-9.4038299999999992</c:v>
                </c:pt>
                <c:pt idx="397">
                  <c:v>-9.6038300000000003</c:v>
                </c:pt>
                <c:pt idx="398">
                  <c:v>-9.8038299999999996</c:v>
                </c:pt>
                <c:pt idx="399">
                  <c:v>-10.0038</c:v>
                </c:pt>
                <c:pt idx="400">
                  <c:v>-9.7538300000000007</c:v>
                </c:pt>
                <c:pt idx="401">
                  <c:v>-9.5038300000000007</c:v>
                </c:pt>
                <c:pt idx="402">
                  <c:v>-9.2538300000000007</c:v>
                </c:pt>
                <c:pt idx="403">
                  <c:v>-9.0038300000000007</c:v>
                </c:pt>
                <c:pt idx="404">
                  <c:v>-8.7538300000000007</c:v>
                </c:pt>
                <c:pt idx="405">
                  <c:v>-8.5038300000000007</c:v>
                </c:pt>
                <c:pt idx="406">
                  <c:v>-8.2538300000000007</c:v>
                </c:pt>
                <c:pt idx="407">
                  <c:v>-8.0038300000000007</c:v>
                </c:pt>
                <c:pt idx="408">
                  <c:v>-7.7538299999999998</c:v>
                </c:pt>
                <c:pt idx="409">
                  <c:v>-7.5038299999999998</c:v>
                </c:pt>
                <c:pt idx="410">
                  <c:v>-7.2538299999999998</c:v>
                </c:pt>
                <c:pt idx="411">
                  <c:v>-7.0038299999999998</c:v>
                </c:pt>
                <c:pt idx="412">
                  <c:v>-6.7538299999999998</c:v>
                </c:pt>
                <c:pt idx="413">
                  <c:v>-6.5038299999999998</c:v>
                </c:pt>
                <c:pt idx="414">
                  <c:v>-6.2538299999999998</c:v>
                </c:pt>
                <c:pt idx="415">
                  <c:v>-6.0038299999999998</c:v>
                </c:pt>
                <c:pt idx="416">
                  <c:v>-5.7538299999999998</c:v>
                </c:pt>
                <c:pt idx="417">
                  <c:v>-5.5038299999999998</c:v>
                </c:pt>
                <c:pt idx="418">
                  <c:v>-5.2538299999999998</c:v>
                </c:pt>
                <c:pt idx="419">
                  <c:v>-5.0038299999999998</c:v>
                </c:pt>
                <c:pt idx="420">
                  <c:v>-4.7538299999999998</c:v>
                </c:pt>
                <c:pt idx="421">
                  <c:v>-4.5038299999999998</c:v>
                </c:pt>
                <c:pt idx="422">
                  <c:v>-4.2538299999999998</c:v>
                </c:pt>
                <c:pt idx="423">
                  <c:v>-4.0038299999999998</c:v>
                </c:pt>
                <c:pt idx="424">
                  <c:v>-3.7538299999999998</c:v>
                </c:pt>
                <c:pt idx="425">
                  <c:v>-3.5038299999999998</c:v>
                </c:pt>
                <c:pt idx="426">
                  <c:v>-3.2538299999999998</c:v>
                </c:pt>
                <c:pt idx="427">
                  <c:v>-3.0038299999999998</c:v>
                </c:pt>
                <c:pt idx="428">
                  <c:v>-2.7538299999999998</c:v>
                </c:pt>
                <c:pt idx="429">
                  <c:v>-2.5038299999999998</c:v>
                </c:pt>
                <c:pt idx="430">
                  <c:v>-2.2538299999999998</c:v>
                </c:pt>
                <c:pt idx="431">
                  <c:v>-2.0038299999999998</c:v>
                </c:pt>
                <c:pt idx="432">
                  <c:v>-1.75383</c:v>
                </c:pt>
                <c:pt idx="433">
                  <c:v>-1.50383</c:v>
                </c:pt>
                <c:pt idx="434">
                  <c:v>-1.25383</c:v>
                </c:pt>
                <c:pt idx="435">
                  <c:v>-1.00383</c:v>
                </c:pt>
                <c:pt idx="436">
                  <c:v>-0.75383299999999998</c:v>
                </c:pt>
                <c:pt idx="437">
                  <c:v>-0.50383299999999998</c:v>
                </c:pt>
                <c:pt idx="438">
                  <c:v>-0.25383299999999998</c:v>
                </c:pt>
                <c:pt idx="439">
                  <c:v>-3.83271E-3</c:v>
                </c:pt>
                <c:pt idx="440">
                  <c:v>0.246167</c:v>
                </c:pt>
                <c:pt idx="441">
                  <c:v>0.49616700000000002</c:v>
                </c:pt>
                <c:pt idx="442">
                  <c:v>0.74616700000000002</c:v>
                </c:pt>
                <c:pt idx="443">
                  <c:v>0.99616700000000002</c:v>
                </c:pt>
                <c:pt idx="444">
                  <c:v>1.24617</c:v>
                </c:pt>
                <c:pt idx="445">
                  <c:v>1.49617</c:v>
                </c:pt>
                <c:pt idx="446">
                  <c:v>1.74617</c:v>
                </c:pt>
                <c:pt idx="447">
                  <c:v>1.99617</c:v>
                </c:pt>
                <c:pt idx="448">
                  <c:v>2.2461700000000002</c:v>
                </c:pt>
                <c:pt idx="449">
                  <c:v>2.4961700000000002</c:v>
                </c:pt>
                <c:pt idx="450">
                  <c:v>2.7461700000000002</c:v>
                </c:pt>
                <c:pt idx="451">
                  <c:v>2.9961700000000002</c:v>
                </c:pt>
                <c:pt idx="452">
                  <c:v>3.2461700000000002</c:v>
                </c:pt>
                <c:pt idx="453">
                  <c:v>3.4961700000000002</c:v>
                </c:pt>
                <c:pt idx="454">
                  <c:v>3.7461700000000002</c:v>
                </c:pt>
                <c:pt idx="455">
                  <c:v>3.9961700000000002</c:v>
                </c:pt>
                <c:pt idx="456">
                  <c:v>4.2461700000000002</c:v>
                </c:pt>
                <c:pt idx="457">
                  <c:v>4.4961700000000002</c:v>
                </c:pt>
                <c:pt idx="458">
                  <c:v>4.7461700000000002</c:v>
                </c:pt>
                <c:pt idx="459">
                  <c:v>4.9961700000000002</c:v>
                </c:pt>
                <c:pt idx="460">
                  <c:v>5.2461700000000002</c:v>
                </c:pt>
                <c:pt idx="461">
                  <c:v>5.4961700000000002</c:v>
                </c:pt>
                <c:pt idx="462">
                  <c:v>5.7461700000000002</c:v>
                </c:pt>
                <c:pt idx="463">
                  <c:v>5.9961700000000002</c:v>
                </c:pt>
                <c:pt idx="464">
                  <c:v>6.2461700000000002</c:v>
                </c:pt>
                <c:pt idx="465">
                  <c:v>6.4961700000000002</c:v>
                </c:pt>
                <c:pt idx="466">
                  <c:v>6.7461700000000002</c:v>
                </c:pt>
                <c:pt idx="467">
                  <c:v>6.9961700000000002</c:v>
                </c:pt>
                <c:pt idx="468">
                  <c:v>7.2461700000000002</c:v>
                </c:pt>
                <c:pt idx="469">
                  <c:v>7.4961700000000002</c:v>
                </c:pt>
                <c:pt idx="470">
                  <c:v>7.7461700000000002</c:v>
                </c:pt>
                <c:pt idx="471">
                  <c:v>7.9961700000000002</c:v>
                </c:pt>
                <c:pt idx="472">
                  <c:v>8.2461699999999993</c:v>
                </c:pt>
                <c:pt idx="473">
                  <c:v>8.4961699999999993</c:v>
                </c:pt>
                <c:pt idx="474">
                  <c:v>8.7461699999999993</c:v>
                </c:pt>
                <c:pt idx="475">
                  <c:v>8.9961699999999993</c:v>
                </c:pt>
                <c:pt idx="476">
                  <c:v>9.2461699999999993</c:v>
                </c:pt>
                <c:pt idx="477">
                  <c:v>9.4961699999999993</c:v>
                </c:pt>
                <c:pt idx="478">
                  <c:v>9.7461699999999993</c:v>
                </c:pt>
                <c:pt idx="479">
                  <c:v>9.9961699999999993</c:v>
                </c:pt>
                <c:pt idx="480">
                  <c:v>10.2462</c:v>
                </c:pt>
                <c:pt idx="481">
                  <c:v>10.4962</c:v>
                </c:pt>
                <c:pt idx="482">
                  <c:v>10.7462</c:v>
                </c:pt>
                <c:pt idx="483">
                  <c:v>10.9962</c:v>
                </c:pt>
                <c:pt idx="484">
                  <c:v>11.2462</c:v>
                </c:pt>
                <c:pt idx="485">
                  <c:v>11.4962</c:v>
                </c:pt>
                <c:pt idx="486">
                  <c:v>11.7462</c:v>
                </c:pt>
                <c:pt idx="487">
                  <c:v>11.9962</c:v>
                </c:pt>
                <c:pt idx="488">
                  <c:v>12.2462</c:v>
                </c:pt>
                <c:pt idx="489">
                  <c:v>12.4962</c:v>
                </c:pt>
                <c:pt idx="490">
                  <c:v>12.7462</c:v>
                </c:pt>
                <c:pt idx="491">
                  <c:v>12.9962</c:v>
                </c:pt>
                <c:pt idx="492">
                  <c:v>13.2462</c:v>
                </c:pt>
                <c:pt idx="493">
                  <c:v>13.4962</c:v>
                </c:pt>
                <c:pt idx="494">
                  <c:v>13.7462</c:v>
                </c:pt>
                <c:pt idx="495">
                  <c:v>13.9962</c:v>
                </c:pt>
                <c:pt idx="496">
                  <c:v>14.2462</c:v>
                </c:pt>
                <c:pt idx="497">
                  <c:v>14.4962</c:v>
                </c:pt>
                <c:pt idx="498">
                  <c:v>14.7462</c:v>
                </c:pt>
                <c:pt idx="499">
                  <c:v>14.9962</c:v>
                </c:pt>
                <c:pt idx="500">
                  <c:v>14.696199999999999</c:v>
                </c:pt>
                <c:pt idx="501">
                  <c:v>14.3962</c:v>
                </c:pt>
                <c:pt idx="502">
                  <c:v>14.0962</c:v>
                </c:pt>
                <c:pt idx="503">
                  <c:v>13.796200000000001</c:v>
                </c:pt>
                <c:pt idx="504">
                  <c:v>13.4962</c:v>
                </c:pt>
                <c:pt idx="505">
                  <c:v>13.196199999999999</c:v>
                </c:pt>
                <c:pt idx="506">
                  <c:v>12.8962</c:v>
                </c:pt>
                <c:pt idx="507">
                  <c:v>12.5962</c:v>
                </c:pt>
                <c:pt idx="508">
                  <c:v>12.296200000000001</c:v>
                </c:pt>
                <c:pt idx="509">
                  <c:v>11.9962</c:v>
                </c:pt>
                <c:pt idx="510">
                  <c:v>11.696199999999999</c:v>
                </c:pt>
                <c:pt idx="511">
                  <c:v>11.3962</c:v>
                </c:pt>
                <c:pt idx="512">
                  <c:v>11.0962</c:v>
                </c:pt>
                <c:pt idx="513">
                  <c:v>10.796200000000001</c:v>
                </c:pt>
                <c:pt idx="514">
                  <c:v>10.4962</c:v>
                </c:pt>
                <c:pt idx="515">
                  <c:v>10.196199999999999</c:v>
                </c:pt>
                <c:pt idx="516">
                  <c:v>9.8961699999999997</c:v>
                </c:pt>
                <c:pt idx="517">
                  <c:v>9.5961700000000008</c:v>
                </c:pt>
                <c:pt idx="518">
                  <c:v>9.29617</c:v>
                </c:pt>
                <c:pt idx="519">
                  <c:v>8.9961699999999993</c:v>
                </c:pt>
                <c:pt idx="520">
                  <c:v>8.6961700000000004</c:v>
                </c:pt>
                <c:pt idx="521">
                  <c:v>8.3961699999999997</c:v>
                </c:pt>
                <c:pt idx="522">
                  <c:v>8.0961700000000008</c:v>
                </c:pt>
                <c:pt idx="523">
                  <c:v>7.79617</c:v>
                </c:pt>
                <c:pt idx="524">
                  <c:v>7.4961700000000002</c:v>
                </c:pt>
                <c:pt idx="525">
                  <c:v>7.1961700000000004</c:v>
                </c:pt>
                <c:pt idx="526">
                  <c:v>6.8961699999999997</c:v>
                </c:pt>
                <c:pt idx="527">
                  <c:v>6.5961699999999999</c:v>
                </c:pt>
                <c:pt idx="528">
                  <c:v>6.29617</c:v>
                </c:pt>
                <c:pt idx="529">
                  <c:v>5.9961700000000002</c:v>
                </c:pt>
                <c:pt idx="530">
                  <c:v>5.6961700000000004</c:v>
                </c:pt>
                <c:pt idx="531">
                  <c:v>5.3961699999999997</c:v>
                </c:pt>
                <c:pt idx="532">
                  <c:v>5.0961699999999999</c:v>
                </c:pt>
                <c:pt idx="533">
                  <c:v>4.79617</c:v>
                </c:pt>
                <c:pt idx="534">
                  <c:v>4.4961700000000002</c:v>
                </c:pt>
                <c:pt idx="535">
                  <c:v>4.1961700000000004</c:v>
                </c:pt>
                <c:pt idx="536">
                  <c:v>3.8961700000000001</c:v>
                </c:pt>
                <c:pt idx="537">
                  <c:v>3.5961699999999999</c:v>
                </c:pt>
                <c:pt idx="538">
                  <c:v>3.29617</c:v>
                </c:pt>
                <c:pt idx="539">
                  <c:v>2.9961700000000002</c:v>
                </c:pt>
                <c:pt idx="540">
                  <c:v>2.69617</c:v>
                </c:pt>
                <c:pt idx="541">
                  <c:v>2.3961700000000001</c:v>
                </c:pt>
                <c:pt idx="542">
                  <c:v>2.0961699999999999</c:v>
                </c:pt>
                <c:pt idx="543">
                  <c:v>1.79617</c:v>
                </c:pt>
                <c:pt idx="544">
                  <c:v>1.49617</c:v>
                </c:pt>
                <c:pt idx="545">
                  <c:v>1.19617</c:v>
                </c:pt>
                <c:pt idx="546">
                  <c:v>0.89616700000000005</c:v>
                </c:pt>
                <c:pt idx="547">
                  <c:v>0.596167</c:v>
                </c:pt>
                <c:pt idx="548">
                  <c:v>0.29616700000000001</c:v>
                </c:pt>
                <c:pt idx="549">
                  <c:v>-3.83271E-3</c:v>
                </c:pt>
                <c:pt idx="550">
                  <c:v>-0.30383300000000002</c:v>
                </c:pt>
                <c:pt idx="551">
                  <c:v>-0.60383299999999995</c:v>
                </c:pt>
                <c:pt idx="552">
                  <c:v>-0.903833</c:v>
                </c:pt>
                <c:pt idx="553">
                  <c:v>-1.20383</c:v>
                </c:pt>
                <c:pt idx="554">
                  <c:v>-1.50383</c:v>
                </c:pt>
                <c:pt idx="555">
                  <c:v>-1.80383</c:v>
                </c:pt>
                <c:pt idx="556">
                  <c:v>-2.1038299999999999</c:v>
                </c:pt>
                <c:pt idx="557">
                  <c:v>-2.4038300000000001</c:v>
                </c:pt>
                <c:pt idx="558">
                  <c:v>-2.70383</c:v>
                </c:pt>
                <c:pt idx="559">
                  <c:v>-3.0038299999999998</c:v>
                </c:pt>
                <c:pt idx="560">
                  <c:v>-3.30383</c:v>
                </c:pt>
                <c:pt idx="561">
                  <c:v>-3.6038299999999999</c:v>
                </c:pt>
                <c:pt idx="562">
                  <c:v>-3.9038300000000001</c:v>
                </c:pt>
                <c:pt idx="563">
                  <c:v>-4.20383</c:v>
                </c:pt>
                <c:pt idx="564">
                  <c:v>-4.5038299999999998</c:v>
                </c:pt>
                <c:pt idx="565">
                  <c:v>-4.8038299999999996</c:v>
                </c:pt>
                <c:pt idx="566">
                  <c:v>-5.1038300000000003</c:v>
                </c:pt>
                <c:pt idx="567">
                  <c:v>-5.4038300000000001</c:v>
                </c:pt>
                <c:pt idx="568">
                  <c:v>-5.70383</c:v>
                </c:pt>
                <c:pt idx="569">
                  <c:v>-6.0038299999999998</c:v>
                </c:pt>
                <c:pt idx="570">
                  <c:v>-6.3038299999999996</c:v>
                </c:pt>
                <c:pt idx="571">
                  <c:v>-6.6038300000000003</c:v>
                </c:pt>
                <c:pt idx="572">
                  <c:v>-6.9038300000000001</c:v>
                </c:pt>
                <c:pt idx="573">
                  <c:v>-7.20383</c:v>
                </c:pt>
                <c:pt idx="574">
                  <c:v>-7.5038299999999998</c:v>
                </c:pt>
                <c:pt idx="575">
                  <c:v>-7.8038299999999996</c:v>
                </c:pt>
                <c:pt idx="576">
                  <c:v>-8.1038300000000003</c:v>
                </c:pt>
                <c:pt idx="577">
                  <c:v>-8.4038299999999992</c:v>
                </c:pt>
                <c:pt idx="578">
                  <c:v>-8.70383</c:v>
                </c:pt>
                <c:pt idx="579">
                  <c:v>-9.0038300000000007</c:v>
                </c:pt>
                <c:pt idx="580">
                  <c:v>-9.3038299999999996</c:v>
                </c:pt>
                <c:pt idx="581">
                  <c:v>-9.6038300000000003</c:v>
                </c:pt>
                <c:pt idx="582">
                  <c:v>-9.9038299999999992</c:v>
                </c:pt>
                <c:pt idx="583">
                  <c:v>-10.203799999999999</c:v>
                </c:pt>
                <c:pt idx="584">
                  <c:v>-10.5038</c:v>
                </c:pt>
                <c:pt idx="585">
                  <c:v>-10.803800000000001</c:v>
                </c:pt>
                <c:pt idx="586">
                  <c:v>-11.1038</c:v>
                </c:pt>
                <c:pt idx="587">
                  <c:v>-11.4038</c:v>
                </c:pt>
                <c:pt idx="588">
                  <c:v>-11.703799999999999</c:v>
                </c:pt>
                <c:pt idx="589">
                  <c:v>-12.0038</c:v>
                </c:pt>
                <c:pt idx="590">
                  <c:v>-12.303800000000001</c:v>
                </c:pt>
                <c:pt idx="591">
                  <c:v>-12.6038</c:v>
                </c:pt>
                <c:pt idx="592">
                  <c:v>-12.9038</c:v>
                </c:pt>
                <c:pt idx="593">
                  <c:v>-13.203799999999999</c:v>
                </c:pt>
                <c:pt idx="594">
                  <c:v>-13.5038</c:v>
                </c:pt>
                <c:pt idx="595">
                  <c:v>-13.803800000000001</c:v>
                </c:pt>
                <c:pt idx="596">
                  <c:v>-14.1038</c:v>
                </c:pt>
                <c:pt idx="597">
                  <c:v>-14.4038</c:v>
                </c:pt>
                <c:pt idx="598">
                  <c:v>-14.703799999999999</c:v>
                </c:pt>
                <c:pt idx="599">
                  <c:v>-15.0038</c:v>
                </c:pt>
                <c:pt idx="600">
                  <c:v>-14.6538</c:v>
                </c:pt>
                <c:pt idx="601">
                  <c:v>-14.303800000000001</c:v>
                </c:pt>
                <c:pt idx="602">
                  <c:v>-13.953799999999999</c:v>
                </c:pt>
                <c:pt idx="603">
                  <c:v>-13.6038</c:v>
                </c:pt>
                <c:pt idx="604">
                  <c:v>-13.2538</c:v>
                </c:pt>
                <c:pt idx="605">
                  <c:v>-12.9038</c:v>
                </c:pt>
                <c:pt idx="606">
                  <c:v>-12.553800000000001</c:v>
                </c:pt>
                <c:pt idx="607">
                  <c:v>-12.203799999999999</c:v>
                </c:pt>
                <c:pt idx="608">
                  <c:v>-11.8538</c:v>
                </c:pt>
                <c:pt idx="609">
                  <c:v>-11.5038</c:v>
                </c:pt>
                <c:pt idx="610">
                  <c:v>-11.1538</c:v>
                </c:pt>
                <c:pt idx="611">
                  <c:v>-10.803800000000001</c:v>
                </c:pt>
                <c:pt idx="612">
                  <c:v>-10.453799999999999</c:v>
                </c:pt>
                <c:pt idx="613">
                  <c:v>-10.1038</c:v>
                </c:pt>
                <c:pt idx="614">
                  <c:v>-9.7538300000000007</c:v>
                </c:pt>
                <c:pt idx="615">
                  <c:v>-9.4038299999999992</c:v>
                </c:pt>
                <c:pt idx="616">
                  <c:v>-9.0538299999999996</c:v>
                </c:pt>
                <c:pt idx="617">
                  <c:v>-8.70383</c:v>
                </c:pt>
                <c:pt idx="618">
                  <c:v>-8.3538300000000003</c:v>
                </c:pt>
                <c:pt idx="619">
                  <c:v>-8.0038300000000007</c:v>
                </c:pt>
                <c:pt idx="620">
                  <c:v>-7.6538300000000001</c:v>
                </c:pt>
                <c:pt idx="621">
                  <c:v>-7.3038299999999996</c:v>
                </c:pt>
                <c:pt idx="622">
                  <c:v>-6.95383</c:v>
                </c:pt>
                <c:pt idx="623">
                  <c:v>-6.6038300000000003</c:v>
                </c:pt>
                <c:pt idx="624">
                  <c:v>-6.2538299999999998</c:v>
                </c:pt>
                <c:pt idx="625">
                  <c:v>-5.9038300000000001</c:v>
                </c:pt>
                <c:pt idx="626">
                  <c:v>-5.5538299999999996</c:v>
                </c:pt>
                <c:pt idx="627">
                  <c:v>-5.20383</c:v>
                </c:pt>
                <c:pt idx="628">
                  <c:v>-4.8538300000000003</c:v>
                </c:pt>
                <c:pt idx="629">
                  <c:v>-4.5038299999999998</c:v>
                </c:pt>
                <c:pt idx="630">
                  <c:v>-4.1538300000000001</c:v>
                </c:pt>
                <c:pt idx="631">
                  <c:v>-3.80383</c:v>
                </c:pt>
                <c:pt idx="632">
                  <c:v>-3.45383</c:v>
                </c:pt>
                <c:pt idx="633">
                  <c:v>-3.1038299999999999</c:v>
                </c:pt>
                <c:pt idx="634">
                  <c:v>-2.7538299999999998</c:v>
                </c:pt>
                <c:pt idx="635">
                  <c:v>-2.4038300000000001</c:v>
                </c:pt>
                <c:pt idx="636">
                  <c:v>-2.05383</c:v>
                </c:pt>
                <c:pt idx="637">
                  <c:v>-1.70383</c:v>
                </c:pt>
                <c:pt idx="638">
                  <c:v>-1.3538300000000001</c:v>
                </c:pt>
                <c:pt idx="639">
                  <c:v>-1.00383</c:v>
                </c:pt>
                <c:pt idx="640">
                  <c:v>-0.653833</c:v>
                </c:pt>
                <c:pt idx="641">
                  <c:v>-0.30383300000000002</c:v>
                </c:pt>
                <c:pt idx="642">
                  <c:v>4.6167300000000001E-2</c:v>
                </c:pt>
                <c:pt idx="643">
                  <c:v>0.39616699999999999</c:v>
                </c:pt>
                <c:pt idx="644">
                  <c:v>0.74616700000000002</c:v>
                </c:pt>
                <c:pt idx="645">
                  <c:v>1.0961700000000001</c:v>
                </c:pt>
                <c:pt idx="646">
                  <c:v>1.44617</c:v>
                </c:pt>
                <c:pt idx="647">
                  <c:v>1.79617</c:v>
                </c:pt>
                <c:pt idx="648">
                  <c:v>2.1461700000000001</c:v>
                </c:pt>
                <c:pt idx="649">
                  <c:v>2.4961700000000002</c:v>
                </c:pt>
                <c:pt idx="650">
                  <c:v>2.8461699999999999</c:v>
                </c:pt>
                <c:pt idx="651">
                  <c:v>3.19617</c:v>
                </c:pt>
                <c:pt idx="652">
                  <c:v>3.54617</c:v>
                </c:pt>
                <c:pt idx="653">
                  <c:v>3.8961700000000001</c:v>
                </c:pt>
                <c:pt idx="654">
                  <c:v>4.2461700000000002</c:v>
                </c:pt>
                <c:pt idx="655">
                  <c:v>4.5961699999999999</c:v>
                </c:pt>
                <c:pt idx="656">
                  <c:v>4.9461700000000004</c:v>
                </c:pt>
                <c:pt idx="657">
                  <c:v>5.29617</c:v>
                </c:pt>
                <c:pt idx="658">
                  <c:v>5.6461699999999997</c:v>
                </c:pt>
                <c:pt idx="659">
                  <c:v>5.9961700000000002</c:v>
                </c:pt>
                <c:pt idx="660">
                  <c:v>6.3461699999999999</c:v>
                </c:pt>
                <c:pt idx="661">
                  <c:v>6.6961700000000004</c:v>
                </c:pt>
                <c:pt idx="662">
                  <c:v>7.04617</c:v>
                </c:pt>
                <c:pt idx="663">
                  <c:v>7.3961699999999997</c:v>
                </c:pt>
                <c:pt idx="664">
                  <c:v>7.7461700000000002</c:v>
                </c:pt>
                <c:pt idx="665">
                  <c:v>8.0961700000000008</c:v>
                </c:pt>
                <c:pt idx="666">
                  <c:v>8.4461700000000004</c:v>
                </c:pt>
                <c:pt idx="667">
                  <c:v>8.79617</c:v>
                </c:pt>
                <c:pt idx="668">
                  <c:v>9.1461699999999997</c:v>
                </c:pt>
                <c:pt idx="669">
                  <c:v>9.4961699999999993</c:v>
                </c:pt>
                <c:pt idx="670">
                  <c:v>9.8461700000000008</c:v>
                </c:pt>
                <c:pt idx="671">
                  <c:v>10.196199999999999</c:v>
                </c:pt>
                <c:pt idx="672">
                  <c:v>10.546200000000001</c:v>
                </c:pt>
                <c:pt idx="673">
                  <c:v>10.8962</c:v>
                </c:pt>
                <c:pt idx="674">
                  <c:v>11.2462</c:v>
                </c:pt>
                <c:pt idx="675">
                  <c:v>11.5962</c:v>
                </c:pt>
                <c:pt idx="676">
                  <c:v>11.946199999999999</c:v>
                </c:pt>
                <c:pt idx="677">
                  <c:v>12.296200000000001</c:v>
                </c:pt>
                <c:pt idx="678">
                  <c:v>12.6462</c:v>
                </c:pt>
                <c:pt idx="679">
                  <c:v>12.9962</c:v>
                </c:pt>
                <c:pt idx="680">
                  <c:v>13.3462</c:v>
                </c:pt>
                <c:pt idx="681">
                  <c:v>13.696199999999999</c:v>
                </c:pt>
                <c:pt idx="682">
                  <c:v>14.046200000000001</c:v>
                </c:pt>
                <c:pt idx="683">
                  <c:v>14.3962</c:v>
                </c:pt>
                <c:pt idx="684">
                  <c:v>14.7462</c:v>
                </c:pt>
                <c:pt idx="685">
                  <c:v>15.0962</c:v>
                </c:pt>
                <c:pt idx="686">
                  <c:v>15.446199999999999</c:v>
                </c:pt>
                <c:pt idx="687">
                  <c:v>15.796200000000001</c:v>
                </c:pt>
                <c:pt idx="688">
                  <c:v>16.1462</c:v>
                </c:pt>
                <c:pt idx="689">
                  <c:v>16.496200000000002</c:v>
                </c:pt>
                <c:pt idx="690">
                  <c:v>16.8462</c:v>
                </c:pt>
                <c:pt idx="691">
                  <c:v>17.196200000000001</c:v>
                </c:pt>
                <c:pt idx="692">
                  <c:v>17.546199999999999</c:v>
                </c:pt>
                <c:pt idx="693">
                  <c:v>17.8962</c:v>
                </c:pt>
                <c:pt idx="694">
                  <c:v>18.246200000000002</c:v>
                </c:pt>
                <c:pt idx="695">
                  <c:v>18.5962</c:v>
                </c:pt>
                <c:pt idx="696">
                  <c:v>18.946200000000001</c:v>
                </c:pt>
                <c:pt idx="697">
                  <c:v>19.296199999999999</c:v>
                </c:pt>
                <c:pt idx="698">
                  <c:v>19.6462</c:v>
                </c:pt>
                <c:pt idx="699">
                  <c:v>19.996200000000002</c:v>
                </c:pt>
                <c:pt idx="700">
                  <c:v>19.5962</c:v>
                </c:pt>
                <c:pt idx="701">
                  <c:v>19.196200000000001</c:v>
                </c:pt>
                <c:pt idx="702">
                  <c:v>18.796199999999999</c:v>
                </c:pt>
                <c:pt idx="703">
                  <c:v>18.3962</c:v>
                </c:pt>
                <c:pt idx="704">
                  <c:v>17.996200000000002</c:v>
                </c:pt>
                <c:pt idx="705">
                  <c:v>17.5962</c:v>
                </c:pt>
                <c:pt idx="706">
                  <c:v>17.196200000000001</c:v>
                </c:pt>
                <c:pt idx="707">
                  <c:v>16.796199999999999</c:v>
                </c:pt>
                <c:pt idx="708">
                  <c:v>16.3962</c:v>
                </c:pt>
                <c:pt idx="709">
                  <c:v>15.9962</c:v>
                </c:pt>
                <c:pt idx="710">
                  <c:v>15.5962</c:v>
                </c:pt>
                <c:pt idx="711">
                  <c:v>15.196199999999999</c:v>
                </c:pt>
                <c:pt idx="712">
                  <c:v>14.796200000000001</c:v>
                </c:pt>
                <c:pt idx="713">
                  <c:v>14.3962</c:v>
                </c:pt>
                <c:pt idx="714">
                  <c:v>13.9962</c:v>
                </c:pt>
                <c:pt idx="715">
                  <c:v>13.5962</c:v>
                </c:pt>
                <c:pt idx="716">
                  <c:v>13.196199999999999</c:v>
                </c:pt>
                <c:pt idx="717">
                  <c:v>12.796200000000001</c:v>
                </c:pt>
                <c:pt idx="718">
                  <c:v>12.3962</c:v>
                </c:pt>
                <c:pt idx="719">
                  <c:v>11.9962</c:v>
                </c:pt>
                <c:pt idx="720">
                  <c:v>11.5962</c:v>
                </c:pt>
                <c:pt idx="721">
                  <c:v>11.196199999999999</c:v>
                </c:pt>
                <c:pt idx="722">
                  <c:v>10.796200000000001</c:v>
                </c:pt>
                <c:pt idx="723">
                  <c:v>10.3962</c:v>
                </c:pt>
                <c:pt idx="724">
                  <c:v>9.9961699999999993</c:v>
                </c:pt>
                <c:pt idx="725">
                  <c:v>9.5961700000000008</c:v>
                </c:pt>
                <c:pt idx="726">
                  <c:v>9.1961700000000004</c:v>
                </c:pt>
                <c:pt idx="727">
                  <c:v>8.79617</c:v>
                </c:pt>
                <c:pt idx="728">
                  <c:v>8.3961699999999997</c:v>
                </c:pt>
                <c:pt idx="729">
                  <c:v>7.9961700000000002</c:v>
                </c:pt>
                <c:pt idx="730">
                  <c:v>7.5961699999999999</c:v>
                </c:pt>
                <c:pt idx="731">
                  <c:v>7.1961700000000004</c:v>
                </c:pt>
                <c:pt idx="732">
                  <c:v>6.79617</c:v>
                </c:pt>
                <c:pt idx="733">
                  <c:v>6.3961699999999997</c:v>
                </c:pt>
                <c:pt idx="734">
                  <c:v>5.9961700000000002</c:v>
                </c:pt>
                <c:pt idx="735">
                  <c:v>5.5961699999999999</c:v>
                </c:pt>
                <c:pt idx="736">
                  <c:v>5.1961700000000004</c:v>
                </c:pt>
                <c:pt idx="737">
                  <c:v>4.79617</c:v>
                </c:pt>
                <c:pt idx="738">
                  <c:v>4.3961699999999997</c:v>
                </c:pt>
                <c:pt idx="739">
                  <c:v>3.9961700000000002</c:v>
                </c:pt>
                <c:pt idx="740">
                  <c:v>3.5961699999999999</c:v>
                </c:pt>
                <c:pt idx="741">
                  <c:v>3.19617</c:v>
                </c:pt>
                <c:pt idx="742">
                  <c:v>2.79617</c:v>
                </c:pt>
                <c:pt idx="743">
                  <c:v>2.3961700000000001</c:v>
                </c:pt>
                <c:pt idx="744">
                  <c:v>1.99617</c:v>
                </c:pt>
                <c:pt idx="745">
                  <c:v>1.5961700000000001</c:v>
                </c:pt>
                <c:pt idx="746">
                  <c:v>1.19617</c:v>
                </c:pt>
                <c:pt idx="747">
                  <c:v>0.79616699999999996</c:v>
                </c:pt>
                <c:pt idx="748">
                  <c:v>0.39616699999999999</c:v>
                </c:pt>
                <c:pt idx="749">
                  <c:v>-3.83271E-3</c:v>
                </c:pt>
                <c:pt idx="750">
                  <c:v>-0.403833</c:v>
                </c:pt>
                <c:pt idx="751">
                  <c:v>-0.80383300000000002</c:v>
                </c:pt>
                <c:pt idx="752">
                  <c:v>-1.20383</c:v>
                </c:pt>
                <c:pt idx="753">
                  <c:v>-1.6038300000000001</c:v>
                </c:pt>
                <c:pt idx="754">
                  <c:v>-2.0038299999999998</c:v>
                </c:pt>
                <c:pt idx="755">
                  <c:v>-2.4038300000000001</c:v>
                </c:pt>
                <c:pt idx="756">
                  <c:v>-2.80383</c:v>
                </c:pt>
                <c:pt idx="757">
                  <c:v>-3.20383</c:v>
                </c:pt>
                <c:pt idx="758">
                  <c:v>-3.6038299999999999</c:v>
                </c:pt>
                <c:pt idx="759">
                  <c:v>-4.0038299999999998</c:v>
                </c:pt>
                <c:pt idx="760">
                  <c:v>-4.4038300000000001</c:v>
                </c:pt>
                <c:pt idx="761">
                  <c:v>-4.8038299999999996</c:v>
                </c:pt>
                <c:pt idx="762">
                  <c:v>-5.20383</c:v>
                </c:pt>
                <c:pt idx="763">
                  <c:v>-5.6038300000000003</c:v>
                </c:pt>
                <c:pt idx="764">
                  <c:v>-6.0038299999999998</c:v>
                </c:pt>
                <c:pt idx="765">
                  <c:v>-6.4038300000000001</c:v>
                </c:pt>
                <c:pt idx="766">
                  <c:v>-6.8038299999999996</c:v>
                </c:pt>
                <c:pt idx="767">
                  <c:v>-7.20383</c:v>
                </c:pt>
                <c:pt idx="768">
                  <c:v>-7.6038300000000003</c:v>
                </c:pt>
                <c:pt idx="769">
                  <c:v>-8.0038300000000007</c:v>
                </c:pt>
                <c:pt idx="770">
                  <c:v>-8.4038299999999992</c:v>
                </c:pt>
                <c:pt idx="771">
                  <c:v>-8.8038299999999996</c:v>
                </c:pt>
                <c:pt idx="772">
                  <c:v>-9.20383</c:v>
                </c:pt>
                <c:pt idx="773">
                  <c:v>-9.6038300000000003</c:v>
                </c:pt>
                <c:pt idx="774">
                  <c:v>-10.0038</c:v>
                </c:pt>
                <c:pt idx="775">
                  <c:v>-10.4038</c:v>
                </c:pt>
                <c:pt idx="776">
                  <c:v>-10.803800000000001</c:v>
                </c:pt>
                <c:pt idx="777">
                  <c:v>-11.203799999999999</c:v>
                </c:pt>
                <c:pt idx="778">
                  <c:v>-11.6038</c:v>
                </c:pt>
                <c:pt idx="779">
                  <c:v>-12.0038</c:v>
                </c:pt>
                <c:pt idx="780">
                  <c:v>-12.4038</c:v>
                </c:pt>
                <c:pt idx="781">
                  <c:v>-12.803800000000001</c:v>
                </c:pt>
                <c:pt idx="782">
                  <c:v>-13.203799999999999</c:v>
                </c:pt>
                <c:pt idx="783">
                  <c:v>-13.6038</c:v>
                </c:pt>
                <c:pt idx="784">
                  <c:v>-14.0038</c:v>
                </c:pt>
                <c:pt idx="785">
                  <c:v>-14.4038</c:v>
                </c:pt>
                <c:pt idx="786">
                  <c:v>-14.803800000000001</c:v>
                </c:pt>
                <c:pt idx="787">
                  <c:v>-15.203799999999999</c:v>
                </c:pt>
                <c:pt idx="788">
                  <c:v>-15.6038</c:v>
                </c:pt>
                <c:pt idx="789">
                  <c:v>-16.003799999999998</c:v>
                </c:pt>
                <c:pt idx="790">
                  <c:v>-16.4038</c:v>
                </c:pt>
                <c:pt idx="791">
                  <c:v>-16.803799999999999</c:v>
                </c:pt>
                <c:pt idx="792">
                  <c:v>-17.203800000000001</c:v>
                </c:pt>
                <c:pt idx="793">
                  <c:v>-17.6038</c:v>
                </c:pt>
                <c:pt idx="794">
                  <c:v>-18.003799999999998</c:v>
                </c:pt>
                <c:pt idx="795">
                  <c:v>-18.4038</c:v>
                </c:pt>
                <c:pt idx="796">
                  <c:v>-18.803799999999999</c:v>
                </c:pt>
                <c:pt idx="797">
                  <c:v>-19.203800000000001</c:v>
                </c:pt>
                <c:pt idx="798">
                  <c:v>-19.6038</c:v>
                </c:pt>
                <c:pt idx="799">
                  <c:v>-20.003799999999998</c:v>
                </c:pt>
                <c:pt idx="800">
                  <c:v>-19.553799999999999</c:v>
                </c:pt>
                <c:pt idx="801">
                  <c:v>-19.1038</c:v>
                </c:pt>
                <c:pt idx="802">
                  <c:v>-18.6538</c:v>
                </c:pt>
                <c:pt idx="803">
                  <c:v>-18.203800000000001</c:v>
                </c:pt>
                <c:pt idx="804">
                  <c:v>-17.753799999999998</c:v>
                </c:pt>
                <c:pt idx="805">
                  <c:v>-17.303799999999999</c:v>
                </c:pt>
                <c:pt idx="806">
                  <c:v>-16.8538</c:v>
                </c:pt>
                <c:pt idx="807">
                  <c:v>-16.4038</c:v>
                </c:pt>
                <c:pt idx="808">
                  <c:v>-15.953799999999999</c:v>
                </c:pt>
                <c:pt idx="809">
                  <c:v>-15.5038</c:v>
                </c:pt>
                <c:pt idx="810">
                  <c:v>-15.053800000000001</c:v>
                </c:pt>
                <c:pt idx="811">
                  <c:v>-14.6038</c:v>
                </c:pt>
                <c:pt idx="812">
                  <c:v>-14.1538</c:v>
                </c:pt>
                <c:pt idx="813">
                  <c:v>-13.703799999999999</c:v>
                </c:pt>
                <c:pt idx="814">
                  <c:v>-13.2538</c:v>
                </c:pt>
                <c:pt idx="815">
                  <c:v>-12.803800000000001</c:v>
                </c:pt>
                <c:pt idx="816">
                  <c:v>-12.3538</c:v>
                </c:pt>
                <c:pt idx="817">
                  <c:v>-11.9038</c:v>
                </c:pt>
                <c:pt idx="818">
                  <c:v>-11.453799999999999</c:v>
                </c:pt>
                <c:pt idx="819">
                  <c:v>-11.0038</c:v>
                </c:pt>
                <c:pt idx="820">
                  <c:v>-10.553800000000001</c:v>
                </c:pt>
                <c:pt idx="821">
                  <c:v>-10.1038</c:v>
                </c:pt>
                <c:pt idx="822">
                  <c:v>-9.6538299999999992</c:v>
                </c:pt>
                <c:pt idx="823">
                  <c:v>-9.20383</c:v>
                </c:pt>
                <c:pt idx="824">
                  <c:v>-8.7538300000000007</c:v>
                </c:pt>
                <c:pt idx="825">
                  <c:v>-8.3038299999999996</c:v>
                </c:pt>
                <c:pt idx="826">
                  <c:v>-7.8538300000000003</c:v>
                </c:pt>
                <c:pt idx="827">
                  <c:v>-7.4038300000000001</c:v>
                </c:pt>
                <c:pt idx="828">
                  <c:v>-6.95383</c:v>
                </c:pt>
                <c:pt idx="829">
                  <c:v>-6.5038299999999998</c:v>
                </c:pt>
                <c:pt idx="830">
                  <c:v>-6.0538299999999996</c:v>
                </c:pt>
                <c:pt idx="831">
                  <c:v>-5.6038300000000003</c:v>
                </c:pt>
                <c:pt idx="832">
                  <c:v>-5.1538300000000001</c:v>
                </c:pt>
                <c:pt idx="833">
                  <c:v>-4.70383</c:v>
                </c:pt>
                <c:pt idx="834">
                  <c:v>-4.2538299999999998</c:v>
                </c:pt>
                <c:pt idx="835">
                  <c:v>-3.80383</c:v>
                </c:pt>
                <c:pt idx="836">
                  <c:v>-3.3538299999999999</c:v>
                </c:pt>
                <c:pt idx="837">
                  <c:v>-2.9038300000000001</c:v>
                </c:pt>
                <c:pt idx="838">
                  <c:v>-2.45383</c:v>
                </c:pt>
                <c:pt idx="839">
                  <c:v>-2.0038299999999998</c:v>
                </c:pt>
                <c:pt idx="840">
                  <c:v>-1.55383</c:v>
                </c:pt>
                <c:pt idx="841">
                  <c:v>-1.1038300000000001</c:v>
                </c:pt>
                <c:pt idx="842">
                  <c:v>-0.653833</c:v>
                </c:pt>
                <c:pt idx="843">
                  <c:v>-0.20383299999999999</c:v>
                </c:pt>
                <c:pt idx="844">
                  <c:v>0.246167</c:v>
                </c:pt>
                <c:pt idx="845">
                  <c:v>0.69616699999999998</c:v>
                </c:pt>
                <c:pt idx="846">
                  <c:v>1.1461699999999999</c:v>
                </c:pt>
                <c:pt idx="847">
                  <c:v>1.5961700000000001</c:v>
                </c:pt>
                <c:pt idx="848">
                  <c:v>2.04617</c:v>
                </c:pt>
                <c:pt idx="849">
                  <c:v>2.4961700000000002</c:v>
                </c:pt>
                <c:pt idx="850">
                  <c:v>2.94617</c:v>
                </c:pt>
                <c:pt idx="851">
                  <c:v>3.3961700000000001</c:v>
                </c:pt>
                <c:pt idx="852">
                  <c:v>3.8461699999999999</c:v>
                </c:pt>
                <c:pt idx="853">
                  <c:v>4.29617</c:v>
                </c:pt>
                <c:pt idx="854">
                  <c:v>4.7461700000000002</c:v>
                </c:pt>
                <c:pt idx="855">
                  <c:v>5.1961700000000004</c:v>
                </c:pt>
                <c:pt idx="856">
                  <c:v>5.6461699999999997</c:v>
                </c:pt>
                <c:pt idx="857">
                  <c:v>6.0961699999999999</c:v>
                </c:pt>
                <c:pt idx="858">
                  <c:v>6.54617</c:v>
                </c:pt>
                <c:pt idx="859">
                  <c:v>6.9961700000000002</c:v>
                </c:pt>
                <c:pt idx="860">
                  <c:v>7.4461700000000004</c:v>
                </c:pt>
                <c:pt idx="861">
                  <c:v>7.8961699999999997</c:v>
                </c:pt>
                <c:pt idx="862">
                  <c:v>8.3461700000000008</c:v>
                </c:pt>
                <c:pt idx="863">
                  <c:v>8.79617</c:v>
                </c:pt>
                <c:pt idx="864">
                  <c:v>9.2461699999999993</c:v>
                </c:pt>
                <c:pt idx="865">
                  <c:v>9.6961700000000004</c:v>
                </c:pt>
                <c:pt idx="866">
                  <c:v>10.1462</c:v>
                </c:pt>
                <c:pt idx="867">
                  <c:v>10.5962</c:v>
                </c:pt>
                <c:pt idx="868">
                  <c:v>11.046200000000001</c:v>
                </c:pt>
                <c:pt idx="869">
                  <c:v>11.4962</c:v>
                </c:pt>
                <c:pt idx="870">
                  <c:v>11.946199999999999</c:v>
                </c:pt>
                <c:pt idx="871">
                  <c:v>12.3962</c:v>
                </c:pt>
                <c:pt idx="872">
                  <c:v>12.8462</c:v>
                </c:pt>
                <c:pt idx="873">
                  <c:v>13.296200000000001</c:v>
                </c:pt>
                <c:pt idx="874">
                  <c:v>13.7462</c:v>
                </c:pt>
                <c:pt idx="875">
                  <c:v>14.196199999999999</c:v>
                </c:pt>
                <c:pt idx="876">
                  <c:v>14.6462</c:v>
                </c:pt>
                <c:pt idx="877">
                  <c:v>15.0962</c:v>
                </c:pt>
                <c:pt idx="878">
                  <c:v>15.546200000000001</c:v>
                </c:pt>
                <c:pt idx="879">
                  <c:v>15.9962</c:v>
                </c:pt>
                <c:pt idx="880">
                  <c:v>16.446200000000001</c:v>
                </c:pt>
                <c:pt idx="881">
                  <c:v>16.8962</c:v>
                </c:pt>
                <c:pt idx="882">
                  <c:v>17.3462</c:v>
                </c:pt>
                <c:pt idx="883">
                  <c:v>17.796199999999999</c:v>
                </c:pt>
                <c:pt idx="884">
                  <c:v>18.246200000000002</c:v>
                </c:pt>
                <c:pt idx="885">
                  <c:v>18.696200000000001</c:v>
                </c:pt>
                <c:pt idx="886">
                  <c:v>19.1462</c:v>
                </c:pt>
                <c:pt idx="887">
                  <c:v>19.5962</c:v>
                </c:pt>
                <c:pt idx="888">
                  <c:v>20.046199999999999</c:v>
                </c:pt>
                <c:pt idx="889">
                  <c:v>20.496200000000002</c:v>
                </c:pt>
                <c:pt idx="890">
                  <c:v>20.946200000000001</c:v>
                </c:pt>
                <c:pt idx="891">
                  <c:v>21.3962</c:v>
                </c:pt>
                <c:pt idx="892">
                  <c:v>21.8462</c:v>
                </c:pt>
                <c:pt idx="893">
                  <c:v>22.296199999999999</c:v>
                </c:pt>
                <c:pt idx="894">
                  <c:v>22.746200000000002</c:v>
                </c:pt>
                <c:pt idx="895">
                  <c:v>23.196200000000001</c:v>
                </c:pt>
                <c:pt idx="896">
                  <c:v>23.6462</c:v>
                </c:pt>
                <c:pt idx="897">
                  <c:v>24.0962</c:v>
                </c:pt>
                <c:pt idx="898">
                  <c:v>24.546199999999999</c:v>
                </c:pt>
                <c:pt idx="899">
                  <c:v>24.996200000000002</c:v>
                </c:pt>
                <c:pt idx="900">
                  <c:v>24.496200000000002</c:v>
                </c:pt>
                <c:pt idx="901">
                  <c:v>23.996200000000002</c:v>
                </c:pt>
                <c:pt idx="902">
                  <c:v>23.496200000000002</c:v>
                </c:pt>
                <c:pt idx="903">
                  <c:v>22.996200000000002</c:v>
                </c:pt>
                <c:pt idx="904">
                  <c:v>22.496200000000002</c:v>
                </c:pt>
                <c:pt idx="905">
                  <c:v>21.996200000000002</c:v>
                </c:pt>
                <c:pt idx="906">
                  <c:v>21.496200000000002</c:v>
                </c:pt>
                <c:pt idx="907">
                  <c:v>20.996200000000002</c:v>
                </c:pt>
                <c:pt idx="908">
                  <c:v>20.496200000000002</c:v>
                </c:pt>
                <c:pt idx="909">
                  <c:v>19.996200000000002</c:v>
                </c:pt>
                <c:pt idx="910">
                  <c:v>19.496200000000002</c:v>
                </c:pt>
                <c:pt idx="911">
                  <c:v>18.996200000000002</c:v>
                </c:pt>
                <c:pt idx="912">
                  <c:v>18.496200000000002</c:v>
                </c:pt>
                <c:pt idx="913">
                  <c:v>17.996200000000002</c:v>
                </c:pt>
                <c:pt idx="914">
                  <c:v>17.496200000000002</c:v>
                </c:pt>
                <c:pt idx="915">
                  <c:v>16.996200000000002</c:v>
                </c:pt>
                <c:pt idx="916">
                  <c:v>16.496200000000002</c:v>
                </c:pt>
                <c:pt idx="917">
                  <c:v>15.9962</c:v>
                </c:pt>
                <c:pt idx="918">
                  <c:v>15.4962</c:v>
                </c:pt>
                <c:pt idx="919">
                  <c:v>14.9962</c:v>
                </c:pt>
                <c:pt idx="920">
                  <c:v>14.4962</c:v>
                </c:pt>
                <c:pt idx="921">
                  <c:v>13.9962</c:v>
                </c:pt>
                <c:pt idx="922">
                  <c:v>13.4962</c:v>
                </c:pt>
                <c:pt idx="923">
                  <c:v>12.9962</c:v>
                </c:pt>
                <c:pt idx="924">
                  <c:v>12.4962</c:v>
                </c:pt>
                <c:pt idx="925">
                  <c:v>11.9962</c:v>
                </c:pt>
                <c:pt idx="926">
                  <c:v>11.4962</c:v>
                </c:pt>
                <c:pt idx="927">
                  <c:v>10.9962</c:v>
                </c:pt>
                <c:pt idx="928">
                  <c:v>10.4962</c:v>
                </c:pt>
                <c:pt idx="929">
                  <c:v>9.9961699999999993</c:v>
                </c:pt>
                <c:pt idx="930">
                  <c:v>9.4961699999999993</c:v>
                </c:pt>
                <c:pt idx="931">
                  <c:v>8.9961699999999993</c:v>
                </c:pt>
                <c:pt idx="932">
                  <c:v>8.4961699999999993</c:v>
                </c:pt>
                <c:pt idx="933">
                  <c:v>7.9961700000000002</c:v>
                </c:pt>
                <c:pt idx="934">
                  <c:v>7.4961700000000002</c:v>
                </c:pt>
                <c:pt idx="935">
                  <c:v>6.9961700000000002</c:v>
                </c:pt>
                <c:pt idx="936">
                  <c:v>6.4961700000000002</c:v>
                </c:pt>
                <c:pt idx="937">
                  <c:v>5.9961700000000002</c:v>
                </c:pt>
                <c:pt idx="938">
                  <c:v>5.4961700000000002</c:v>
                </c:pt>
                <c:pt idx="939">
                  <c:v>4.9961700000000002</c:v>
                </c:pt>
                <c:pt idx="940">
                  <c:v>4.4961700000000002</c:v>
                </c:pt>
                <c:pt idx="941">
                  <c:v>3.9961700000000002</c:v>
                </c:pt>
                <c:pt idx="942">
                  <c:v>3.4961700000000002</c:v>
                </c:pt>
                <c:pt idx="943">
                  <c:v>2.9961700000000002</c:v>
                </c:pt>
                <c:pt idx="944">
                  <c:v>2.4961700000000002</c:v>
                </c:pt>
                <c:pt idx="945">
                  <c:v>1.99617</c:v>
                </c:pt>
                <c:pt idx="946">
                  <c:v>1.49617</c:v>
                </c:pt>
                <c:pt idx="947">
                  <c:v>0.99616700000000002</c:v>
                </c:pt>
                <c:pt idx="948">
                  <c:v>0.49616700000000002</c:v>
                </c:pt>
                <c:pt idx="949">
                  <c:v>-3.83271E-3</c:v>
                </c:pt>
                <c:pt idx="950">
                  <c:v>-0.50383299999999998</c:v>
                </c:pt>
                <c:pt idx="951">
                  <c:v>-1.00383</c:v>
                </c:pt>
                <c:pt idx="952">
                  <c:v>-1.50383</c:v>
                </c:pt>
                <c:pt idx="953">
                  <c:v>-2.0038299999999998</c:v>
                </c:pt>
                <c:pt idx="954">
                  <c:v>-2.5038299999999998</c:v>
                </c:pt>
                <c:pt idx="955">
                  <c:v>-3.0038299999999998</c:v>
                </c:pt>
                <c:pt idx="956">
                  <c:v>-3.5038299999999998</c:v>
                </c:pt>
                <c:pt idx="957">
                  <c:v>-4.0038299999999998</c:v>
                </c:pt>
                <c:pt idx="958">
                  <c:v>-4.5038299999999998</c:v>
                </c:pt>
                <c:pt idx="959">
                  <c:v>-5.0038299999999998</c:v>
                </c:pt>
                <c:pt idx="960">
                  <c:v>-5.5038299999999998</c:v>
                </c:pt>
                <c:pt idx="961">
                  <c:v>-6.0038299999999998</c:v>
                </c:pt>
                <c:pt idx="962">
                  <c:v>-6.5038299999999998</c:v>
                </c:pt>
                <c:pt idx="963">
                  <c:v>-7.0038299999999998</c:v>
                </c:pt>
                <c:pt idx="964">
                  <c:v>-7.5038299999999998</c:v>
                </c:pt>
                <c:pt idx="965">
                  <c:v>-8.0038300000000007</c:v>
                </c:pt>
                <c:pt idx="966">
                  <c:v>-8.5038300000000007</c:v>
                </c:pt>
                <c:pt idx="967">
                  <c:v>-9.0038300000000007</c:v>
                </c:pt>
                <c:pt idx="968">
                  <c:v>-9.5038300000000007</c:v>
                </c:pt>
                <c:pt idx="969">
                  <c:v>-10.0038</c:v>
                </c:pt>
                <c:pt idx="970">
                  <c:v>-10.5038</c:v>
                </c:pt>
                <c:pt idx="971">
                  <c:v>-11.0038</c:v>
                </c:pt>
                <c:pt idx="972">
                  <c:v>-11.5038</c:v>
                </c:pt>
                <c:pt idx="973">
                  <c:v>-12.0038</c:v>
                </c:pt>
                <c:pt idx="974">
                  <c:v>-12.5038</c:v>
                </c:pt>
                <c:pt idx="975">
                  <c:v>-13.0038</c:v>
                </c:pt>
                <c:pt idx="976">
                  <c:v>-13.5038</c:v>
                </c:pt>
                <c:pt idx="977">
                  <c:v>-14.0038</c:v>
                </c:pt>
                <c:pt idx="978">
                  <c:v>-14.5038</c:v>
                </c:pt>
                <c:pt idx="979">
                  <c:v>-15.0038</c:v>
                </c:pt>
                <c:pt idx="980">
                  <c:v>-15.5038</c:v>
                </c:pt>
                <c:pt idx="981">
                  <c:v>-16.003799999999998</c:v>
                </c:pt>
                <c:pt idx="982">
                  <c:v>-16.503799999999998</c:v>
                </c:pt>
                <c:pt idx="983">
                  <c:v>-17.003799999999998</c:v>
                </c:pt>
                <c:pt idx="984">
                  <c:v>-17.503799999999998</c:v>
                </c:pt>
                <c:pt idx="985">
                  <c:v>-18.003799999999998</c:v>
                </c:pt>
                <c:pt idx="986">
                  <c:v>-18.503799999999998</c:v>
                </c:pt>
                <c:pt idx="987">
                  <c:v>-19.003799999999998</c:v>
                </c:pt>
                <c:pt idx="988">
                  <c:v>-19.503799999999998</c:v>
                </c:pt>
                <c:pt idx="989">
                  <c:v>-20.003799999999998</c:v>
                </c:pt>
                <c:pt idx="990">
                  <c:v>-20.503799999999998</c:v>
                </c:pt>
                <c:pt idx="991">
                  <c:v>-21.003799999999998</c:v>
                </c:pt>
                <c:pt idx="992">
                  <c:v>-21.503799999999998</c:v>
                </c:pt>
                <c:pt idx="993">
                  <c:v>-22.003799999999998</c:v>
                </c:pt>
                <c:pt idx="994">
                  <c:v>-22.503799999999998</c:v>
                </c:pt>
                <c:pt idx="995">
                  <c:v>-23.003799999999998</c:v>
                </c:pt>
                <c:pt idx="996">
                  <c:v>-23.503799999999998</c:v>
                </c:pt>
                <c:pt idx="997">
                  <c:v>-24.003799999999998</c:v>
                </c:pt>
                <c:pt idx="998">
                  <c:v>-24.503799999999998</c:v>
                </c:pt>
                <c:pt idx="999">
                  <c:v>-25.003799999999998</c:v>
                </c:pt>
              </c:numCache>
            </c:numRef>
          </c:xVal>
          <c:yVal>
            <c:numRef>
              <c:f>Result!$D$1:$D$5000</c:f>
              <c:numCache>
                <c:formatCode>General</c:formatCode>
                <c:ptCount val="5000"/>
                <c:pt idx="0">
                  <c:v>0.440523</c:v>
                </c:pt>
                <c:pt idx="1">
                  <c:v>0.49478800000000001</c:v>
                </c:pt>
                <c:pt idx="2">
                  <c:v>0.63120699999999996</c:v>
                </c:pt>
                <c:pt idx="3">
                  <c:v>0.80844000000000005</c:v>
                </c:pt>
                <c:pt idx="4">
                  <c:v>1.0058199999999999</c:v>
                </c:pt>
                <c:pt idx="5">
                  <c:v>1.2130000000000001</c:v>
                </c:pt>
                <c:pt idx="6">
                  <c:v>1.4248099999999999</c:v>
                </c:pt>
                <c:pt idx="7">
                  <c:v>1.6386799999999999</c:v>
                </c:pt>
                <c:pt idx="8">
                  <c:v>1.85331</c:v>
                </c:pt>
                <c:pt idx="9">
                  <c:v>2.0680499999999999</c:v>
                </c:pt>
                <c:pt idx="10">
                  <c:v>2.2825700000000002</c:v>
                </c:pt>
                <c:pt idx="11">
                  <c:v>2.4967100000000002</c:v>
                </c:pt>
                <c:pt idx="12">
                  <c:v>2.7103899999999999</c:v>
                </c:pt>
                <c:pt idx="13">
                  <c:v>2.9235699999999998</c:v>
                </c:pt>
                <c:pt idx="14">
                  <c:v>3.1362199999999998</c:v>
                </c:pt>
                <c:pt idx="15">
                  <c:v>3.3483299999999998</c:v>
                </c:pt>
                <c:pt idx="16">
                  <c:v>3.5598900000000002</c:v>
                </c:pt>
                <c:pt idx="17">
                  <c:v>3.7709100000000002</c:v>
                </c:pt>
                <c:pt idx="18">
                  <c:v>3.9813700000000001</c:v>
                </c:pt>
                <c:pt idx="19">
                  <c:v>4.1912799999999999</c:v>
                </c:pt>
                <c:pt idx="20">
                  <c:v>4.4006299999999996</c:v>
                </c:pt>
                <c:pt idx="21">
                  <c:v>4.6094200000000001</c:v>
                </c:pt>
                <c:pt idx="22">
                  <c:v>4.8176399999999999</c:v>
                </c:pt>
                <c:pt idx="23">
                  <c:v>5.0252999999999997</c:v>
                </c:pt>
                <c:pt idx="24">
                  <c:v>5.2324000000000002</c:v>
                </c:pt>
                <c:pt idx="25">
                  <c:v>5.4389200000000004</c:v>
                </c:pt>
                <c:pt idx="26">
                  <c:v>5.6448700000000001</c:v>
                </c:pt>
                <c:pt idx="27">
                  <c:v>5.85025</c:v>
                </c:pt>
                <c:pt idx="28">
                  <c:v>6.0550499999999996</c:v>
                </c:pt>
                <c:pt idx="29">
                  <c:v>6.2592699999999999</c:v>
                </c:pt>
                <c:pt idx="30">
                  <c:v>6.4629099999999999</c:v>
                </c:pt>
                <c:pt idx="31">
                  <c:v>6.6659600000000001</c:v>
                </c:pt>
                <c:pt idx="32">
                  <c:v>6.86843</c:v>
                </c:pt>
                <c:pt idx="33">
                  <c:v>7.0703100000000001</c:v>
                </c:pt>
                <c:pt idx="34">
                  <c:v>7.2716000000000003</c:v>
                </c:pt>
                <c:pt idx="35">
                  <c:v>7.4722999999999997</c:v>
                </c:pt>
                <c:pt idx="36">
                  <c:v>7.6723999999999997</c:v>
                </c:pt>
                <c:pt idx="37">
                  <c:v>7.8719000000000001</c:v>
                </c:pt>
                <c:pt idx="38">
                  <c:v>8.0708000000000002</c:v>
                </c:pt>
                <c:pt idx="39">
                  <c:v>8.2689599999999999</c:v>
                </c:pt>
                <c:pt idx="40">
                  <c:v>8.4657</c:v>
                </c:pt>
                <c:pt idx="41">
                  <c:v>8.6612100000000005</c:v>
                </c:pt>
                <c:pt idx="42">
                  <c:v>8.8554200000000005</c:v>
                </c:pt>
                <c:pt idx="43">
                  <c:v>9.0489700000000006</c:v>
                </c:pt>
                <c:pt idx="44">
                  <c:v>9.2409999999999997</c:v>
                </c:pt>
                <c:pt idx="45">
                  <c:v>9.4289400000000008</c:v>
                </c:pt>
                <c:pt idx="46">
                  <c:v>9.6137499999999996</c:v>
                </c:pt>
                <c:pt idx="47">
                  <c:v>9.7953200000000002</c:v>
                </c:pt>
                <c:pt idx="48">
                  <c:v>9.9758899999999997</c:v>
                </c:pt>
                <c:pt idx="49">
                  <c:v>10.1541</c:v>
                </c:pt>
                <c:pt idx="50">
                  <c:v>10.3286</c:v>
                </c:pt>
                <c:pt idx="51">
                  <c:v>10.499599999999999</c:v>
                </c:pt>
                <c:pt idx="52">
                  <c:v>10.667199999999999</c:v>
                </c:pt>
                <c:pt idx="53">
                  <c:v>10.833</c:v>
                </c:pt>
                <c:pt idx="54">
                  <c:v>10.997</c:v>
                </c:pt>
                <c:pt idx="55">
                  <c:v>11.157</c:v>
                </c:pt>
                <c:pt idx="56">
                  <c:v>11.314500000000001</c:v>
                </c:pt>
                <c:pt idx="57">
                  <c:v>11.4678</c:v>
                </c:pt>
                <c:pt idx="58">
                  <c:v>11.6191</c:v>
                </c:pt>
                <c:pt idx="59">
                  <c:v>11.7691</c:v>
                </c:pt>
                <c:pt idx="60">
                  <c:v>11.917</c:v>
                </c:pt>
                <c:pt idx="61">
                  <c:v>12.0601</c:v>
                </c:pt>
                <c:pt idx="62">
                  <c:v>12.200900000000001</c:v>
                </c:pt>
                <c:pt idx="63">
                  <c:v>12.337999999999999</c:v>
                </c:pt>
                <c:pt idx="64">
                  <c:v>12.4716</c:v>
                </c:pt>
                <c:pt idx="65">
                  <c:v>12.6036</c:v>
                </c:pt>
                <c:pt idx="66">
                  <c:v>12.734500000000001</c:v>
                </c:pt>
                <c:pt idx="67">
                  <c:v>12.8637</c:v>
                </c:pt>
                <c:pt idx="68">
                  <c:v>12.9894</c:v>
                </c:pt>
                <c:pt idx="69">
                  <c:v>13.112399999999999</c:v>
                </c:pt>
                <c:pt idx="70">
                  <c:v>13.232799999999999</c:v>
                </c:pt>
                <c:pt idx="71">
                  <c:v>13.3499</c:v>
                </c:pt>
                <c:pt idx="72">
                  <c:v>13.464700000000001</c:v>
                </c:pt>
                <c:pt idx="73">
                  <c:v>13.578200000000001</c:v>
                </c:pt>
                <c:pt idx="74">
                  <c:v>13.6905</c:v>
                </c:pt>
                <c:pt idx="75">
                  <c:v>13.8012</c:v>
                </c:pt>
                <c:pt idx="76">
                  <c:v>13.9093</c:v>
                </c:pt>
                <c:pt idx="77">
                  <c:v>14.015599999999999</c:v>
                </c:pt>
                <c:pt idx="78">
                  <c:v>14.120200000000001</c:v>
                </c:pt>
                <c:pt idx="79">
                  <c:v>14.2209</c:v>
                </c:pt>
                <c:pt idx="80">
                  <c:v>14.3195</c:v>
                </c:pt>
                <c:pt idx="81">
                  <c:v>14.416700000000001</c:v>
                </c:pt>
                <c:pt idx="82">
                  <c:v>14.512700000000001</c:v>
                </c:pt>
                <c:pt idx="83">
                  <c:v>14.6075</c:v>
                </c:pt>
                <c:pt idx="84">
                  <c:v>14.701000000000001</c:v>
                </c:pt>
                <c:pt idx="85">
                  <c:v>14.7927</c:v>
                </c:pt>
                <c:pt idx="86">
                  <c:v>14.882899999999999</c:v>
                </c:pt>
                <c:pt idx="87">
                  <c:v>14.9712</c:v>
                </c:pt>
                <c:pt idx="88">
                  <c:v>15.057700000000001</c:v>
                </c:pt>
                <c:pt idx="89">
                  <c:v>15.142799999999999</c:v>
                </c:pt>
                <c:pt idx="90">
                  <c:v>15.2264</c:v>
                </c:pt>
                <c:pt idx="91">
                  <c:v>15.3081</c:v>
                </c:pt>
                <c:pt idx="92">
                  <c:v>15.3886</c:v>
                </c:pt>
                <c:pt idx="93">
                  <c:v>15.468</c:v>
                </c:pt>
                <c:pt idx="94">
                  <c:v>15.546799999999999</c:v>
                </c:pt>
                <c:pt idx="95">
                  <c:v>15.624599999999999</c:v>
                </c:pt>
                <c:pt idx="96">
                  <c:v>15.700799999999999</c:v>
                </c:pt>
                <c:pt idx="97">
                  <c:v>15.7759</c:v>
                </c:pt>
                <c:pt idx="98">
                  <c:v>15.8497</c:v>
                </c:pt>
                <c:pt idx="99">
                  <c:v>15.9224</c:v>
                </c:pt>
                <c:pt idx="100">
                  <c:v>15.741099999999999</c:v>
                </c:pt>
                <c:pt idx="101">
                  <c:v>15.5175</c:v>
                </c:pt>
                <c:pt idx="102">
                  <c:v>15.288399999999999</c:v>
                </c:pt>
                <c:pt idx="103">
                  <c:v>15.0555</c:v>
                </c:pt>
                <c:pt idx="104">
                  <c:v>14.8142</c:v>
                </c:pt>
                <c:pt idx="105">
                  <c:v>14.5647</c:v>
                </c:pt>
                <c:pt idx="106">
                  <c:v>14.3071</c:v>
                </c:pt>
                <c:pt idx="107">
                  <c:v>14.0426</c:v>
                </c:pt>
                <c:pt idx="108">
                  <c:v>13.7728</c:v>
                </c:pt>
                <c:pt idx="109">
                  <c:v>13.4907</c:v>
                </c:pt>
                <c:pt idx="110">
                  <c:v>13.198399999999999</c:v>
                </c:pt>
                <c:pt idx="111">
                  <c:v>12.8969</c:v>
                </c:pt>
                <c:pt idx="112">
                  <c:v>12.591100000000001</c:v>
                </c:pt>
                <c:pt idx="113">
                  <c:v>12.2707</c:v>
                </c:pt>
                <c:pt idx="114">
                  <c:v>11.937099999999999</c:v>
                </c:pt>
                <c:pt idx="115">
                  <c:v>11.5984</c:v>
                </c:pt>
                <c:pt idx="116">
                  <c:v>11.247299999999999</c:v>
                </c:pt>
                <c:pt idx="117">
                  <c:v>10.881600000000001</c:v>
                </c:pt>
                <c:pt idx="118">
                  <c:v>10.507400000000001</c:v>
                </c:pt>
                <c:pt idx="119">
                  <c:v>10.1226</c:v>
                </c:pt>
                <c:pt idx="120">
                  <c:v>9.7269000000000005</c:v>
                </c:pt>
                <c:pt idx="121">
                  <c:v>9.3235399999999995</c:v>
                </c:pt>
                <c:pt idx="122">
                  <c:v>8.9089100000000006</c:v>
                </c:pt>
                <c:pt idx="123">
                  <c:v>8.4829699999999999</c:v>
                </c:pt>
                <c:pt idx="124">
                  <c:v>8.05044</c:v>
                </c:pt>
                <c:pt idx="125">
                  <c:v>7.6042199999999998</c:v>
                </c:pt>
                <c:pt idx="126">
                  <c:v>7.1508399999999996</c:v>
                </c:pt>
                <c:pt idx="127">
                  <c:v>6.6941699999999997</c:v>
                </c:pt>
                <c:pt idx="128">
                  <c:v>6.2359400000000003</c:v>
                </c:pt>
                <c:pt idx="129">
                  <c:v>5.7748299999999997</c:v>
                </c:pt>
                <c:pt idx="130">
                  <c:v>5.3109900000000003</c:v>
                </c:pt>
                <c:pt idx="131">
                  <c:v>4.8470599999999999</c:v>
                </c:pt>
                <c:pt idx="132">
                  <c:v>4.3831699999999998</c:v>
                </c:pt>
                <c:pt idx="133">
                  <c:v>3.9192999999999998</c:v>
                </c:pt>
                <c:pt idx="134">
                  <c:v>3.4555199999999999</c:v>
                </c:pt>
                <c:pt idx="135">
                  <c:v>2.9918100000000001</c:v>
                </c:pt>
                <c:pt idx="136">
                  <c:v>2.5282300000000002</c:v>
                </c:pt>
                <c:pt idx="137">
                  <c:v>2.0647899999999999</c:v>
                </c:pt>
                <c:pt idx="138">
                  <c:v>1.60165</c:v>
                </c:pt>
                <c:pt idx="139">
                  <c:v>1.1390100000000001</c:v>
                </c:pt>
                <c:pt idx="140">
                  <c:v>0.67696400000000001</c:v>
                </c:pt>
                <c:pt idx="141">
                  <c:v>0.21624099999999999</c:v>
                </c:pt>
                <c:pt idx="142">
                  <c:v>-0.24248800000000001</c:v>
                </c:pt>
                <c:pt idx="143">
                  <c:v>-0.69715499999999997</c:v>
                </c:pt>
                <c:pt idx="144">
                  <c:v>-1.1450499999999999</c:v>
                </c:pt>
                <c:pt idx="145">
                  <c:v>-1.58386</c:v>
                </c:pt>
                <c:pt idx="146">
                  <c:v>-2.0153300000000001</c:v>
                </c:pt>
                <c:pt idx="147">
                  <c:v>-2.4420500000000001</c:v>
                </c:pt>
                <c:pt idx="148">
                  <c:v>-2.86449</c:v>
                </c:pt>
                <c:pt idx="149">
                  <c:v>-3.28416</c:v>
                </c:pt>
                <c:pt idx="150">
                  <c:v>-3.6960199999999999</c:v>
                </c:pt>
                <c:pt idx="151">
                  <c:v>-4.0988199999999999</c:v>
                </c:pt>
                <c:pt idx="152">
                  <c:v>-4.4921499999999996</c:v>
                </c:pt>
                <c:pt idx="153">
                  <c:v>-4.87582</c:v>
                </c:pt>
                <c:pt idx="154">
                  <c:v>-5.2503299999999999</c:v>
                </c:pt>
                <c:pt idx="155">
                  <c:v>-5.6155900000000001</c:v>
                </c:pt>
                <c:pt idx="156">
                  <c:v>-5.9708600000000001</c:v>
                </c:pt>
                <c:pt idx="157">
                  <c:v>-6.3169300000000002</c:v>
                </c:pt>
                <c:pt idx="158">
                  <c:v>-6.6521999999999997</c:v>
                </c:pt>
                <c:pt idx="159">
                  <c:v>-6.9772800000000004</c:v>
                </c:pt>
                <c:pt idx="160">
                  <c:v>-7.2919799999999997</c:v>
                </c:pt>
                <c:pt idx="161">
                  <c:v>-7.59917</c:v>
                </c:pt>
                <c:pt idx="162">
                  <c:v>-7.8973300000000002</c:v>
                </c:pt>
                <c:pt idx="163">
                  <c:v>-8.1829800000000006</c:v>
                </c:pt>
                <c:pt idx="164">
                  <c:v>-8.4568600000000007</c:v>
                </c:pt>
                <c:pt idx="165">
                  <c:v>-8.7223699999999997</c:v>
                </c:pt>
                <c:pt idx="166">
                  <c:v>-8.9818700000000007</c:v>
                </c:pt>
                <c:pt idx="167">
                  <c:v>-9.2308199999999996</c:v>
                </c:pt>
                <c:pt idx="168">
                  <c:v>-9.4709599999999998</c:v>
                </c:pt>
                <c:pt idx="169">
                  <c:v>-9.7049800000000008</c:v>
                </c:pt>
                <c:pt idx="170">
                  <c:v>-9.9285499999999995</c:v>
                </c:pt>
                <c:pt idx="171">
                  <c:v>-10.144299999999999</c:v>
                </c:pt>
                <c:pt idx="172">
                  <c:v>-10.357100000000001</c:v>
                </c:pt>
                <c:pt idx="173">
                  <c:v>-10.5617</c:v>
                </c:pt>
                <c:pt idx="174">
                  <c:v>-10.758900000000001</c:v>
                </c:pt>
                <c:pt idx="175">
                  <c:v>-10.948700000000001</c:v>
                </c:pt>
                <c:pt idx="176">
                  <c:v>-11.135400000000001</c:v>
                </c:pt>
                <c:pt idx="177">
                  <c:v>-11.316599999999999</c:v>
                </c:pt>
                <c:pt idx="178">
                  <c:v>-11.4925</c:v>
                </c:pt>
                <c:pt idx="179">
                  <c:v>-11.6624</c:v>
                </c:pt>
                <c:pt idx="180">
                  <c:v>-11.8286</c:v>
                </c:pt>
                <c:pt idx="181">
                  <c:v>-11.991300000000001</c:v>
                </c:pt>
                <c:pt idx="182">
                  <c:v>-12.151199999999999</c:v>
                </c:pt>
                <c:pt idx="183">
                  <c:v>-12.3057</c:v>
                </c:pt>
                <c:pt idx="184">
                  <c:v>-12.456</c:v>
                </c:pt>
                <c:pt idx="185">
                  <c:v>-12.602499999999999</c:v>
                </c:pt>
                <c:pt idx="186">
                  <c:v>-12.746499999999999</c:v>
                </c:pt>
                <c:pt idx="187">
                  <c:v>-12.886900000000001</c:v>
                </c:pt>
                <c:pt idx="188">
                  <c:v>-13.0246</c:v>
                </c:pt>
                <c:pt idx="189">
                  <c:v>-13.1584</c:v>
                </c:pt>
                <c:pt idx="190">
                  <c:v>-13.2902</c:v>
                </c:pt>
                <c:pt idx="191">
                  <c:v>-13.419</c:v>
                </c:pt>
                <c:pt idx="192">
                  <c:v>-13.546099999999999</c:v>
                </c:pt>
                <c:pt idx="193">
                  <c:v>-13.671799999999999</c:v>
                </c:pt>
                <c:pt idx="194">
                  <c:v>-13.7959</c:v>
                </c:pt>
                <c:pt idx="195">
                  <c:v>-13.9178</c:v>
                </c:pt>
                <c:pt idx="196">
                  <c:v>-14.0372</c:v>
                </c:pt>
                <c:pt idx="197">
                  <c:v>-14.154299999999999</c:v>
                </c:pt>
                <c:pt idx="198">
                  <c:v>-14.270300000000001</c:v>
                </c:pt>
                <c:pt idx="199">
                  <c:v>-14.384</c:v>
                </c:pt>
                <c:pt idx="200">
                  <c:v>-14.1791</c:v>
                </c:pt>
                <c:pt idx="201">
                  <c:v>-13.9696</c:v>
                </c:pt>
                <c:pt idx="202">
                  <c:v>-13.7532</c:v>
                </c:pt>
                <c:pt idx="203">
                  <c:v>-13.5311</c:v>
                </c:pt>
                <c:pt idx="204">
                  <c:v>-13.305300000000001</c:v>
                </c:pt>
                <c:pt idx="205">
                  <c:v>-13.072900000000001</c:v>
                </c:pt>
                <c:pt idx="206">
                  <c:v>-12.832800000000001</c:v>
                </c:pt>
                <c:pt idx="207">
                  <c:v>-12.5844</c:v>
                </c:pt>
                <c:pt idx="208">
                  <c:v>-12.327400000000001</c:v>
                </c:pt>
                <c:pt idx="209">
                  <c:v>-12.0602</c:v>
                </c:pt>
                <c:pt idx="210">
                  <c:v>-11.780799999999999</c:v>
                </c:pt>
                <c:pt idx="211">
                  <c:v>-11.493</c:v>
                </c:pt>
                <c:pt idx="212">
                  <c:v>-11.194100000000001</c:v>
                </c:pt>
                <c:pt idx="213">
                  <c:v>-10.882099999999999</c:v>
                </c:pt>
                <c:pt idx="214">
                  <c:v>-10.555899999999999</c:v>
                </c:pt>
                <c:pt idx="215">
                  <c:v>-10.2181</c:v>
                </c:pt>
                <c:pt idx="216">
                  <c:v>-9.8580299999999994</c:v>
                </c:pt>
                <c:pt idx="217">
                  <c:v>-9.4869000000000003</c:v>
                </c:pt>
                <c:pt idx="218">
                  <c:v>-9.0951699999999995</c:v>
                </c:pt>
                <c:pt idx="219">
                  <c:v>-8.6848600000000005</c:v>
                </c:pt>
                <c:pt idx="220">
                  <c:v>-8.2536799999999992</c:v>
                </c:pt>
                <c:pt idx="221">
                  <c:v>-7.8051000000000004</c:v>
                </c:pt>
                <c:pt idx="222">
                  <c:v>-7.3338400000000004</c:v>
                </c:pt>
                <c:pt idx="223">
                  <c:v>-6.83819</c:v>
                </c:pt>
                <c:pt idx="224">
                  <c:v>-6.3206800000000003</c:v>
                </c:pt>
                <c:pt idx="225">
                  <c:v>-5.78484</c:v>
                </c:pt>
                <c:pt idx="226">
                  <c:v>-5.2268999999999997</c:v>
                </c:pt>
                <c:pt idx="227">
                  <c:v>-4.6447700000000003</c:v>
                </c:pt>
                <c:pt idx="228">
                  <c:v>-4.0446200000000001</c:v>
                </c:pt>
                <c:pt idx="229">
                  <c:v>-3.4268700000000001</c:v>
                </c:pt>
                <c:pt idx="230">
                  <c:v>-2.7897500000000002</c:v>
                </c:pt>
                <c:pt idx="231">
                  <c:v>-2.1335199999999999</c:v>
                </c:pt>
                <c:pt idx="232">
                  <c:v>-1.4591799999999999</c:v>
                </c:pt>
                <c:pt idx="233">
                  <c:v>-0.77960499999999999</c:v>
                </c:pt>
                <c:pt idx="234">
                  <c:v>-9.5590900000000006E-2</c:v>
                </c:pt>
                <c:pt idx="235">
                  <c:v>0.59186499999999997</c:v>
                </c:pt>
                <c:pt idx="236">
                  <c:v>1.2793000000000001</c:v>
                </c:pt>
                <c:pt idx="237">
                  <c:v>1.9666999999999999</c:v>
                </c:pt>
                <c:pt idx="238">
                  <c:v>2.6540900000000001</c:v>
                </c:pt>
                <c:pt idx="239">
                  <c:v>3.33988</c:v>
                </c:pt>
                <c:pt idx="240">
                  <c:v>4.0202900000000001</c:v>
                </c:pt>
                <c:pt idx="241">
                  <c:v>4.6982200000000001</c:v>
                </c:pt>
                <c:pt idx="242">
                  <c:v>5.3713499999999996</c:v>
                </c:pt>
                <c:pt idx="243">
                  <c:v>6.0286600000000004</c:v>
                </c:pt>
                <c:pt idx="244">
                  <c:v>6.6681699999999999</c:v>
                </c:pt>
                <c:pt idx="245">
                  <c:v>7.2933000000000003</c:v>
                </c:pt>
                <c:pt idx="246">
                  <c:v>7.8964800000000004</c:v>
                </c:pt>
                <c:pt idx="247">
                  <c:v>8.4875900000000009</c:v>
                </c:pt>
                <c:pt idx="248">
                  <c:v>9.0572300000000006</c:v>
                </c:pt>
                <c:pt idx="249">
                  <c:v>9.6136199999999992</c:v>
                </c:pt>
                <c:pt idx="250">
                  <c:v>10.142799999999999</c:v>
                </c:pt>
                <c:pt idx="251">
                  <c:v>10.6494</c:v>
                </c:pt>
                <c:pt idx="252">
                  <c:v>11.1448</c:v>
                </c:pt>
                <c:pt idx="253">
                  <c:v>11.6136</c:v>
                </c:pt>
                <c:pt idx="254">
                  <c:v>12.0647</c:v>
                </c:pt>
                <c:pt idx="255">
                  <c:v>12.507300000000001</c:v>
                </c:pt>
                <c:pt idx="256">
                  <c:v>12.9282</c:v>
                </c:pt>
                <c:pt idx="257">
                  <c:v>13.3299</c:v>
                </c:pt>
                <c:pt idx="258">
                  <c:v>13.7209</c:v>
                </c:pt>
                <c:pt idx="259">
                  <c:v>14.101900000000001</c:v>
                </c:pt>
                <c:pt idx="260">
                  <c:v>14.4664</c:v>
                </c:pt>
                <c:pt idx="261">
                  <c:v>14.813700000000001</c:v>
                </c:pt>
                <c:pt idx="262">
                  <c:v>15.152100000000001</c:v>
                </c:pt>
                <c:pt idx="263">
                  <c:v>15.4819</c:v>
                </c:pt>
                <c:pt idx="264">
                  <c:v>15.798400000000001</c:v>
                </c:pt>
                <c:pt idx="265">
                  <c:v>16.063600000000001</c:v>
                </c:pt>
                <c:pt idx="266">
                  <c:v>16.2667</c:v>
                </c:pt>
                <c:pt idx="267">
                  <c:v>16.456600000000002</c:v>
                </c:pt>
                <c:pt idx="268">
                  <c:v>16.6387</c:v>
                </c:pt>
                <c:pt idx="269">
                  <c:v>16.814299999999999</c:v>
                </c:pt>
                <c:pt idx="270">
                  <c:v>16.9849</c:v>
                </c:pt>
                <c:pt idx="271">
                  <c:v>17.149999999999999</c:v>
                </c:pt>
                <c:pt idx="272">
                  <c:v>17.309100000000001</c:v>
                </c:pt>
                <c:pt idx="273">
                  <c:v>17.4558</c:v>
                </c:pt>
                <c:pt idx="274">
                  <c:v>17.593299999999999</c:v>
                </c:pt>
                <c:pt idx="275">
                  <c:v>17.726099999999999</c:v>
                </c:pt>
                <c:pt idx="276">
                  <c:v>17.854900000000001</c:v>
                </c:pt>
                <c:pt idx="277">
                  <c:v>17.979199999999999</c:v>
                </c:pt>
                <c:pt idx="278">
                  <c:v>18.100100000000001</c:v>
                </c:pt>
                <c:pt idx="279">
                  <c:v>18.218299999999999</c:v>
                </c:pt>
                <c:pt idx="280">
                  <c:v>18.333500000000001</c:v>
                </c:pt>
                <c:pt idx="281">
                  <c:v>18.445599999999999</c:v>
                </c:pt>
                <c:pt idx="282">
                  <c:v>18.555199999999999</c:v>
                </c:pt>
                <c:pt idx="283">
                  <c:v>18.662400000000002</c:v>
                </c:pt>
                <c:pt idx="284">
                  <c:v>18.766500000000001</c:v>
                </c:pt>
                <c:pt idx="285">
                  <c:v>18.867899999999999</c:v>
                </c:pt>
                <c:pt idx="286">
                  <c:v>18.966000000000001</c:v>
                </c:pt>
                <c:pt idx="287">
                  <c:v>19.052299999999999</c:v>
                </c:pt>
                <c:pt idx="288">
                  <c:v>19.124500000000001</c:v>
                </c:pt>
                <c:pt idx="289">
                  <c:v>19.191600000000001</c:v>
                </c:pt>
                <c:pt idx="290">
                  <c:v>19.256</c:v>
                </c:pt>
                <c:pt idx="291">
                  <c:v>19.318200000000001</c:v>
                </c:pt>
                <c:pt idx="292">
                  <c:v>19.378299999999999</c:v>
                </c:pt>
                <c:pt idx="293">
                  <c:v>19.435700000000001</c:v>
                </c:pt>
                <c:pt idx="294">
                  <c:v>19.4907</c:v>
                </c:pt>
                <c:pt idx="295">
                  <c:v>19.543199999999999</c:v>
                </c:pt>
                <c:pt idx="296">
                  <c:v>19.593800000000002</c:v>
                </c:pt>
                <c:pt idx="297">
                  <c:v>19.642499999999998</c:v>
                </c:pt>
                <c:pt idx="298">
                  <c:v>19.6846</c:v>
                </c:pt>
                <c:pt idx="299">
                  <c:v>19.700099999999999</c:v>
                </c:pt>
                <c:pt idx="300">
                  <c:v>19.428899999999999</c:v>
                </c:pt>
                <c:pt idx="301">
                  <c:v>19.155200000000001</c:v>
                </c:pt>
                <c:pt idx="302">
                  <c:v>18.878799999999998</c:v>
                </c:pt>
                <c:pt idx="303">
                  <c:v>18.597300000000001</c:v>
                </c:pt>
                <c:pt idx="304">
                  <c:v>18.311199999999999</c:v>
                </c:pt>
                <c:pt idx="305">
                  <c:v>18.020800000000001</c:v>
                </c:pt>
                <c:pt idx="306">
                  <c:v>17.726099999999999</c:v>
                </c:pt>
                <c:pt idx="307">
                  <c:v>17.427800000000001</c:v>
                </c:pt>
                <c:pt idx="308">
                  <c:v>17.125900000000001</c:v>
                </c:pt>
                <c:pt idx="309">
                  <c:v>16.820499999999999</c:v>
                </c:pt>
                <c:pt idx="310">
                  <c:v>16.5077</c:v>
                </c:pt>
                <c:pt idx="311">
                  <c:v>16.1891</c:v>
                </c:pt>
                <c:pt idx="312">
                  <c:v>15.8652</c:v>
                </c:pt>
                <c:pt idx="313">
                  <c:v>15.533899999999999</c:v>
                </c:pt>
                <c:pt idx="314">
                  <c:v>15.1966</c:v>
                </c:pt>
                <c:pt idx="315">
                  <c:v>14.8508</c:v>
                </c:pt>
                <c:pt idx="316">
                  <c:v>14.494</c:v>
                </c:pt>
                <c:pt idx="317">
                  <c:v>14.126099999999999</c:v>
                </c:pt>
                <c:pt idx="318">
                  <c:v>13.7479</c:v>
                </c:pt>
                <c:pt idx="319">
                  <c:v>13.361800000000001</c:v>
                </c:pt>
                <c:pt idx="320">
                  <c:v>12.9657</c:v>
                </c:pt>
                <c:pt idx="321">
                  <c:v>12.557600000000001</c:v>
                </c:pt>
                <c:pt idx="322">
                  <c:v>12.1357</c:v>
                </c:pt>
                <c:pt idx="323">
                  <c:v>11.703099999999999</c:v>
                </c:pt>
                <c:pt idx="324">
                  <c:v>11.256500000000001</c:v>
                </c:pt>
                <c:pt idx="325">
                  <c:v>10.792199999999999</c:v>
                </c:pt>
                <c:pt idx="326">
                  <c:v>10.311299999999999</c:v>
                </c:pt>
                <c:pt idx="327">
                  <c:v>9.8152600000000003</c:v>
                </c:pt>
                <c:pt idx="328">
                  <c:v>9.3118599999999994</c:v>
                </c:pt>
                <c:pt idx="329">
                  <c:v>8.7899700000000003</c:v>
                </c:pt>
                <c:pt idx="330">
                  <c:v>8.2470099999999995</c:v>
                </c:pt>
                <c:pt idx="331">
                  <c:v>7.6974799999999997</c:v>
                </c:pt>
                <c:pt idx="332">
                  <c:v>7.1334999999999997</c:v>
                </c:pt>
                <c:pt idx="333">
                  <c:v>6.5466699999999998</c:v>
                </c:pt>
                <c:pt idx="334">
                  <c:v>5.9535</c:v>
                </c:pt>
                <c:pt idx="335">
                  <c:v>5.3450199999999999</c:v>
                </c:pt>
                <c:pt idx="336">
                  <c:v>4.7188499999999998</c:v>
                </c:pt>
                <c:pt idx="337">
                  <c:v>4.0811900000000003</c:v>
                </c:pt>
                <c:pt idx="338">
                  <c:v>3.41757</c:v>
                </c:pt>
                <c:pt idx="339">
                  <c:v>2.7455799999999999</c:v>
                </c:pt>
                <c:pt idx="340">
                  <c:v>2.0545800000000001</c:v>
                </c:pt>
                <c:pt idx="341">
                  <c:v>1.35503</c:v>
                </c:pt>
                <c:pt idx="342">
                  <c:v>0.63449999999999995</c:v>
                </c:pt>
                <c:pt idx="343">
                  <c:v>-8.4165400000000001E-2</c:v>
                </c:pt>
                <c:pt idx="344">
                  <c:v>-0.79840599999999995</c:v>
                </c:pt>
                <c:pt idx="345">
                  <c:v>-1.5126500000000001</c:v>
                </c:pt>
                <c:pt idx="346">
                  <c:v>-2.2212299999999998</c:v>
                </c:pt>
                <c:pt idx="347">
                  <c:v>-2.9297</c:v>
                </c:pt>
                <c:pt idx="348">
                  <c:v>-3.6370399999999998</c:v>
                </c:pt>
                <c:pt idx="349">
                  <c:v>-4.3328300000000004</c:v>
                </c:pt>
                <c:pt idx="350">
                  <c:v>-5.0013500000000004</c:v>
                </c:pt>
                <c:pt idx="351">
                  <c:v>-5.6532</c:v>
                </c:pt>
                <c:pt idx="352">
                  <c:v>-6.2843200000000001</c:v>
                </c:pt>
                <c:pt idx="353">
                  <c:v>-6.8899800000000004</c:v>
                </c:pt>
                <c:pt idx="354">
                  <c:v>-7.4684900000000001</c:v>
                </c:pt>
                <c:pt idx="355">
                  <c:v>-8.03355</c:v>
                </c:pt>
                <c:pt idx="356">
                  <c:v>-8.5732999999999997</c:v>
                </c:pt>
                <c:pt idx="357">
                  <c:v>-9.0931099999999994</c:v>
                </c:pt>
                <c:pt idx="358">
                  <c:v>-9.5972200000000001</c:v>
                </c:pt>
                <c:pt idx="359">
                  <c:v>-10.074400000000001</c:v>
                </c:pt>
                <c:pt idx="360">
                  <c:v>-10.533300000000001</c:v>
                </c:pt>
                <c:pt idx="361">
                  <c:v>-10.9703</c:v>
                </c:pt>
                <c:pt idx="362">
                  <c:v>-11.3872</c:v>
                </c:pt>
                <c:pt idx="363">
                  <c:v>-11.7904</c:v>
                </c:pt>
                <c:pt idx="364">
                  <c:v>-12.171200000000001</c:v>
                </c:pt>
                <c:pt idx="365">
                  <c:v>-12.536199999999999</c:v>
                </c:pt>
                <c:pt idx="366">
                  <c:v>-12.885</c:v>
                </c:pt>
                <c:pt idx="367">
                  <c:v>-13.2151</c:v>
                </c:pt>
                <c:pt idx="368">
                  <c:v>-13.511799999999999</c:v>
                </c:pt>
                <c:pt idx="369">
                  <c:v>-13.785299999999999</c:v>
                </c:pt>
                <c:pt idx="370">
                  <c:v>-14.042899999999999</c:v>
                </c:pt>
                <c:pt idx="371">
                  <c:v>-14.2902</c:v>
                </c:pt>
                <c:pt idx="372">
                  <c:v>-14.523099999999999</c:v>
                </c:pt>
                <c:pt idx="373">
                  <c:v>-14.74</c:v>
                </c:pt>
                <c:pt idx="374">
                  <c:v>-14.9453</c:v>
                </c:pt>
                <c:pt idx="375">
                  <c:v>-15.1317</c:v>
                </c:pt>
                <c:pt idx="376">
                  <c:v>-15.3146</c:v>
                </c:pt>
                <c:pt idx="377">
                  <c:v>-15.489100000000001</c:v>
                </c:pt>
                <c:pt idx="378">
                  <c:v>-15.6524</c:v>
                </c:pt>
                <c:pt idx="379">
                  <c:v>-15.8102</c:v>
                </c:pt>
                <c:pt idx="380">
                  <c:v>-15.965999999999999</c:v>
                </c:pt>
                <c:pt idx="381">
                  <c:v>-16.119700000000002</c:v>
                </c:pt>
                <c:pt idx="382">
                  <c:v>-16.269400000000001</c:v>
                </c:pt>
                <c:pt idx="383">
                  <c:v>-16.413</c:v>
                </c:pt>
                <c:pt idx="384">
                  <c:v>-16.548500000000001</c:v>
                </c:pt>
                <c:pt idx="385">
                  <c:v>-16.6782</c:v>
                </c:pt>
                <c:pt idx="386">
                  <c:v>-16.806100000000001</c:v>
                </c:pt>
                <c:pt idx="387">
                  <c:v>-16.926400000000001</c:v>
                </c:pt>
                <c:pt idx="388">
                  <c:v>-17.045000000000002</c:v>
                </c:pt>
                <c:pt idx="389">
                  <c:v>-17.161799999999999</c:v>
                </c:pt>
                <c:pt idx="390">
                  <c:v>-17.275600000000001</c:v>
                </c:pt>
                <c:pt idx="391">
                  <c:v>-17.386900000000001</c:v>
                </c:pt>
                <c:pt idx="392">
                  <c:v>-17.496500000000001</c:v>
                </c:pt>
                <c:pt idx="393">
                  <c:v>-17.604299999999999</c:v>
                </c:pt>
                <c:pt idx="394">
                  <c:v>-17.709800000000001</c:v>
                </c:pt>
                <c:pt idx="395">
                  <c:v>-17.813800000000001</c:v>
                </c:pt>
                <c:pt idx="396">
                  <c:v>-17.9161</c:v>
                </c:pt>
                <c:pt idx="397">
                  <c:v>-18.0091</c:v>
                </c:pt>
                <c:pt idx="398">
                  <c:v>-18.070599999999999</c:v>
                </c:pt>
                <c:pt idx="399">
                  <c:v>-18.130400000000002</c:v>
                </c:pt>
                <c:pt idx="400">
                  <c:v>-17.886600000000001</c:v>
                </c:pt>
                <c:pt idx="401">
                  <c:v>-17.639500000000002</c:v>
                </c:pt>
                <c:pt idx="402">
                  <c:v>-17.390799999999999</c:v>
                </c:pt>
                <c:pt idx="403">
                  <c:v>-17.140499999999999</c:v>
                </c:pt>
                <c:pt idx="404">
                  <c:v>-16.886099999999999</c:v>
                </c:pt>
                <c:pt idx="405">
                  <c:v>-16.627500000000001</c:v>
                </c:pt>
                <c:pt idx="406">
                  <c:v>-16.364999999999998</c:v>
                </c:pt>
                <c:pt idx="407">
                  <c:v>-16.099499999999999</c:v>
                </c:pt>
                <c:pt idx="408">
                  <c:v>-15.8285</c:v>
                </c:pt>
                <c:pt idx="409">
                  <c:v>-15.554399999999999</c:v>
                </c:pt>
                <c:pt idx="410">
                  <c:v>-15.275700000000001</c:v>
                </c:pt>
                <c:pt idx="411">
                  <c:v>-14.9939</c:v>
                </c:pt>
                <c:pt idx="412">
                  <c:v>-14.706799999999999</c:v>
                </c:pt>
                <c:pt idx="413">
                  <c:v>-14.413600000000001</c:v>
                </c:pt>
                <c:pt idx="414">
                  <c:v>-14.111499999999999</c:v>
                </c:pt>
                <c:pt idx="415">
                  <c:v>-13.8056</c:v>
                </c:pt>
                <c:pt idx="416">
                  <c:v>-13.4975</c:v>
                </c:pt>
                <c:pt idx="417">
                  <c:v>-13.179500000000001</c:v>
                </c:pt>
                <c:pt idx="418">
                  <c:v>-12.851800000000001</c:v>
                </c:pt>
                <c:pt idx="419">
                  <c:v>-12.515499999999999</c:v>
                </c:pt>
                <c:pt idx="420">
                  <c:v>-12.171900000000001</c:v>
                </c:pt>
                <c:pt idx="421">
                  <c:v>-11.8147</c:v>
                </c:pt>
                <c:pt idx="422">
                  <c:v>-11.443099999999999</c:v>
                </c:pt>
                <c:pt idx="423">
                  <c:v>-11.058299999999999</c:v>
                </c:pt>
                <c:pt idx="424">
                  <c:v>-10.652699999999999</c:v>
                </c:pt>
                <c:pt idx="425">
                  <c:v>-10.226599999999999</c:v>
                </c:pt>
                <c:pt idx="426">
                  <c:v>-9.7782699999999991</c:v>
                </c:pt>
                <c:pt idx="427">
                  <c:v>-9.2991899999999994</c:v>
                </c:pt>
                <c:pt idx="428">
                  <c:v>-8.7969500000000007</c:v>
                </c:pt>
                <c:pt idx="429">
                  <c:v>-8.2637099999999997</c:v>
                </c:pt>
                <c:pt idx="430">
                  <c:v>-7.7046700000000001</c:v>
                </c:pt>
                <c:pt idx="431">
                  <c:v>-7.1165200000000004</c:v>
                </c:pt>
                <c:pt idx="432">
                  <c:v>-6.4998399999999998</c:v>
                </c:pt>
                <c:pt idx="433">
                  <c:v>-5.8622500000000004</c:v>
                </c:pt>
                <c:pt idx="434">
                  <c:v>-5.2039200000000001</c:v>
                </c:pt>
                <c:pt idx="435">
                  <c:v>-4.5214999999999996</c:v>
                </c:pt>
                <c:pt idx="436">
                  <c:v>-3.8039900000000002</c:v>
                </c:pt>
                <c:pt idx="437">
                  <c:v>-3.0599699999999999</c:v>
                </c:pt>
                <c:pt idx="438">
                  <c:v>-2.29941</c:v>
                </c:pt>
                <c:pt idx="439">
                  <c:v>-1.5163800000000001</c:v>
                </c:pt>
                <c:pt idx="440">
                  <c:v>-0.73256100000000002</c:v>
                </c:pt>
                <c:pt idx="441">
                  <c:v>5.6613499999999997E-2</c:v>
                </c:pt>
                <c:pt idx="442">
                  <c:v>0.84972199999999998</c:v>
                </c:pt>
                <c:pt idx="443">
                  <c:v>1.6195900000000001</c:v>
                </c:pt>
                <c:pt idx="444">
                  <c:v>2.3930199999999999</c:v>
                </c:pt>
                <c:pt idx="445">
                  <c:v>3.1465800000000002</c:v>
                </c:pt>
                <c:pt idx="446">
                  <c:v>3.8982999999999999</c:v>
                </c:pt>
                <c:pt idx="447">
                  <c:v>4.6385500000000004</c:v>
                </c:pt>
                <c:pt idx="448">
                  <c:v>5.3667699999999998</c:v>
                </c:pt>
                <c:pt idx="449">
                  <c:v>6.0981300000000003</c:v>
                </c:pt>
                <c:pt idx="450">
                  <c:v>6.8012699999999997</c:v>
                </c:pt>
                <c:pt idx="451">
                  <c:v>7.4921800000000003</c:v>
                </c:pt>
                <c:pt idx="452">
                  <c:v>8.1673100000000005</c:v>
                </c:pt>
                <c:pt idx="453">
                  <c:v>8.8138000000000005</c:v>
                </c:pt>
                <c:pt idx="454">
                  <c:v>9.4420199999999994</c:v>
                </c:pt>
                <c:pt idx="455">
                  <c:v>10.0501</c:v>
                </c:pt>
                <c:pt idx="456">
                  <c:v>10.6272</c:v>
                </c:pt>
                <c:pt idx="457">
                  <c:v>11.187200000000001</c:v>
                </c:pt>
                <c:pt idx="458">
                  <c:v>11.7293</c:v>
                </c:pt>
                <c:pt idx="459">
                  <c:v>12.2484</c:v>
                </c:pt>
                <c:pt idx="460">
                  <c:v>12.7485</c:v>
                </c:pt>
                <c:pt idx="461">
                  <c:v>13.232799999999999</c:v>
                </c:pt>
                <c:pt idx="462">
                  <c:v>13.701499999999999</c:v>
                </c:pt>
                <c:pt idx="463">
                  <c:v>14.152900000000001</c:v>
                </c:pt>
                <c:pt idx="464">
                  <c:v>14.594900000000001</c:v>
                </c:pt>
                <c:pt idx="465">
                  <c:v>15.021000000000001</c:v>
                </c:pt>
                <c:pt idx="466">
                  <c:v>15.432700000000001</c:v>
                </c:pt>
                <c:pt idx="467">
                  <c:v>15.832000000000001</c:v>
                </c:pt>
                <c:pt idx="468">
                  <c:v>16.222100000000001</c:v>
                </c:pt>
                <c:pt idx="469">
                  <c:v>16.594000000000001</c:v>
                </c:pt>
                <c:pt idx="470">
                  <c:v>16.9451</c:v>
                </c:pt>
                <c:pt idx="471">
                  <c:v>17.285900000000002</c:v>
                </c:pt>
                <c:pt idx="472">
                  <c:v>17.622499999999999</c:v>
                </c:pt>
                <c:pt idx="473">
                  <c:v>17.955100000000002</c:v>
                </c:pt>
                <c:pt idx="474">
                  <c:v>18.281600000000001</c:v>
                </c:pt>
                <c:pt idx="475">
                  <c:v>18.601600000000001</c:v>
                </c:pt>
                <c:pt idx="476">
                  <c:v>18.914000000000001</c:v>
                </c:pt>
                <c:pt idx="477">
                  <c:v>19.2195</c:v>
                </c:pt>
                <c:pt idx="478">
                  <c:v>19.520199999999999</c:v>
                </c:pt>
                <c:pt idx="479">
                  <c:v>19.7088</c:v>
                </c:pt>
                <c:pt idx="480">
                  <c:v>19.715499999999999</c:v>
                </c:pt>
                <c:pt idx="481">
                  <c:v>19.700600000000001</c:v>
                </c:pt>
                <c:pt idx="482">
                  <c:v>19.680199999999999</c:v>
                </c:pt>
                <c:pt idx="483">
                  <c:v>19.6523</c:v>
                </c:pt>
                <c:pt idx="484">
                  <c:v>19.618500000000001</c:v>
                </c:pt>
                <c:pt idx="485">
                  <c:v>19.579599999999999</c:v>
                </c:pt>
                <c:pt idx="486">
                  <c:v>19.5365</c:v>
                </c:pt>
                <c:pt idx="487">
                  <c:v>19.487200000000001</c:v>
                </c:pt>
                <c:pt idx="488">
                  <c:v>19.428999999999998</c:v>
                </c:pt>
                <c:pt idx="489">
                  <c:v>19.365400000000001</c:v>
                </c:pt>
                <c:pt idx="490">
                  <c:v>19.2974</c:v>
                </c:pt>
                <c:pt idx="491">
                  <c:v>19.226800000000001</c:v>
                </c:pt>
                <c:pt idx="492">
                  <c:v>19.158200000000001</c:v>
                </c:pt>
                <c:pt idx="493">
                  <c:v>19.088999999999999</c:v>
                </c:pt>
                <c:pt idx="494">
                  <c:v>19.020600000000002</c:v>
                </c:pt>
                <c:pt idx="495">
                  <c:v>18.950900000000001</c:v>
                </c:pt>
                <c:pt idx="496">
                  <c:v>18.8828</c:v>
                </c:pt>
                <c:pt idx="497">
                  <c:v>18.8126</c:v>
                </c:pt>
                <c:pt idx="498">
                  <c:v>18.742799999999999</c:v>
                </c:pt>
                <c:pt idx="499">
                  <c:v>18.672899999999998</c:v>
                </c:pt>
                <c:pt idx="500">
                  <c:v>18.308399999999999</c:v>
                </c:pt>
                <c:pt idx="501">
                  <c:v>17.940300000000001</c:v>
                </c:pt>
                <c:pt idx="502">
                  <c:v>17.5684</c:v>
                </c:pt>
                <c:pt idx="503">
                  <c:v>17.194600000000001</c:v>
                </c:pt>
                <c:pt idx="504">
                  <c:v>16.8169</c:v>
                </c:pt>
                <c:pt idx="505">
                  <c:v>16.430599999999998</c:v>
                </c:pt>
                <c:pt idx="506">
                  <c:v>16.0379</c:v>
                </c:pt>
                <c:pt idx="507">
                  <c:v>15.6404</c:v>
                </c:pt>
                <c:pt idx="508">
                  <c:v>15.234500000000001</c:v>
                </c:pt>
                <c:pt idx="509">
                  <c:v>14.8223</c:v>
                </c:pt>
                <c:pt idx="510">
                  <c:v>14.400700000000001</c:v>
                </c:pt>
                <c:pt idx="511">
                  <c:v>13.9665</c:v>
                </c:pt>
                <c:pt idx="512">
                  <c:v>13.520200000000001</c:v>
                </c:pt>
                <c:pt idx="513">
                  <c:v>13.063700000000001</c:v>
                </c:pt>
                <c:pt idx="514">
                  <c:v>12.591699999999999</c:v>
                </c:pt>
                <c:pt idx="515">
                  <c:v>12.1104</c:v>
                </c:pt>
                <c:pt idx="516">
                  <c:v>11.616199999999999</c:v>
                </c:pt>
                <c:pt idx="517">
                  <c:v>11.112399999999999</c:v>
                </c:pt>
                <c:pt idx="518">
                  <c:v>10.599500000000001</c:v>
                </c:pt>
                <c:pt idx="519">
                  <c:v>10.0787</c:v>
                </c:pt>
                <c:pt idx="520">
                  <c:v>9.5517099999999999</c:v>
                </c:pt>
                <c:pt idx="521">
                  <c:v>9.0103500000000007</c:v>
                </c:pt>
                <c:pt idx="522">
                  <c:v>8.4621300000000002</c:v>
                </c:pt>
                <c:pt idx="523">
                  <c:v>7.9089799999999997</c:v>
                </c:pt>
                <c:pt idx="524">
                  <c:v>7.3494400000000004</c:v>
                </c:pt>
                <c:pt idx="525">
                  <c:v>6.7869299999999999</c:v>
                </c:pt>
                <c:pt idx="526">
                  <c:v>6.2231500000000004</c:v>
                </c:pt>
                <c:pt idx="527">
                  <c:v>5.6532200000000001</c:v>
                </c:pt>
                <c:pt idx="528">
                  <c:v>5.0922299999999998</c:v>
                </c:pt>
                <c:pt idx="529">
                  <c:v>4.5342799999999999</c:v>
                </c:pt>
                <c:pt idx="530">
                  <c:v>3.9694099999999999</c:v>
                </c:pt>
                <c:pt idx="531">
                  <c:v>3.4076200000000001</c:v>
                </c:pt>
                <c:pt idx="532">
                  <c:v>2.86544</c:v>
                </c:pt>
                <c:pt idx="533">
                  <c:v>2.3391099999999998</c:v>
                </c:pt>
                <c:pt idx="534">
                  <c:v>1.8195600000000001</c:v>
                </c:pt>
                <c:pt idx="535">
                  <c:v>1.29461</c:v>
                </c:pt>
                <c:pt idx="536">
                  <c:v>0.77266199999999996</c:v>
                </c:pt>
                <c:pt idx="537">
                  <c:v>0.25655099999999997</c:v>
                </c:pt>
                <c:pt idx="538">
                  <c:v>-0.27291199999999999</c:v>
                </c:pt>
                <c:pt idx="539">
                  <c:v>-0.81698099999999996</c:v>
                </c:pt>
                <c:pt idx="540">
                  <c:v>-1.35792</c:v>
                </c:pt>
                <c:pt idx="541">
                  <c:v>-1.9275500000000001</c:v>
                </c:pt>
                <c:pt idx="542">
                  <c:v>-2.5068100000000002</c:v>
                </c:pt>
                <c:pt idx="543">
                  <c:v>-3.0779000000000001</c:v>
                </c:pt>
                <c:pt idx="544">
                  <c:v>-3.66737</c:v>
                </c:pt>
                <c:pt idx="545">
                  <c:v>-4.2600300000000004</c:v>
                </c:pt>
                <c:pt idx="546">
                  <c:v>-4.8625999999999996</c:v>
                </c:pt>
                <c:pt idx="547">
                  <c:v>-5.4407899999999998</c:v>
                </c:pt>
                <c:pt idx="548">
                  <c:v>-6.04739</c:v>
                </c:pt>
                <c:pt idx="549">
                  <c:v>-6.6621499999999996</c:v>
                </c:pt>
                <c:pt idx="550">
                  <c:v>-7.2635899999999998</c:v>
                </c:pt>
                <c:pt idx="551">
                  <c:v>-7.8720400000000001</c:v>
                </c:pt>
                <c:pt idx="552">
                  <c:v>-8.47438</c:v>
                </c:pt>
                <c:pt idx="553">
                  <c:v>-9.0726899999999997</c:v>
                </c:pt>
                <c:pt idx="554">
                  <c:v>-9.6722300000000008</c:v>
                </c:pt>
                <c:pt idx="555">
                  <c:v>-10.243399999999999</c:v>
                </c:pt>
                <c:pt idx="556">
                  <c:v>-10.7904</c:v>
                </c:pt>
                <c:pt idx="557">
                  <c:v>-11.323</c:v>
                </c:pt>
                <c:pt idx="558">
                  <c:v>-11.830399999999999</c:v>
                </c:pt>
                <c:pt idx="559">
                  <c:v>-12.3111</c:v>
                </c:pt>
                <c:pt idx="560">
                  <c:v>-12.770899999999999</c:v>
                </c:pt>
                <c:pt idx="561">
                  <c:v>-13.2044</c:v>
                </c:pt>
                <c:pt idx="562">
                  <c:v>-13.613200000000001</c:v>
                </c:pt>
                <c:pt idx="563">
                  <c:v>-14.001200000000001</c:v>
                </c:pt>
                <c:pt idx="564">
                  <c:v>-14.3667</c:v>
                </c:pt>
                <c:pt idx="565">
                  <c:v>-14.708</c:v>
                </c:pt>
                <c:pt idx="566">
                  <c:v>-15.0327</c:v>
                </c:pt>
                <c:pt idx="567">
                  <c:v>-15.3405</c:v>
                </c:pt>
                <c:pt idx="568">
                  <c:v>-15.6333</c:v>
                </c:pt>
                <c:pt idx="569">
                  <c:v>-15.9171</c:v>
                </c:pt>
                <c:pt idx="570">
                  <c:v>-16.164999999999999</c:v>
                </c:pt>
                <c:pt idx="571">
                  <c:v>-16.373799999999999</c:v>
                </c:pt>
                <c:pt idx="572">
                  <c:v>-16.578499999999998</c:v>
                </c:pt>
                <c:pt idx="573">
                  <c:v>-16.774899999999999</c:v>
                </c:pt>
                <c:pt idx="574">
                  <c:v>-16.9617</c:v>
                </c:pt>
                <c:pt idx="575">
                  <c:v>-17.140699999999999</c:v>
                </c:pt>
                <c:pt idx="576">
                  <c:v>-17.316700000000001</c:v>
                </c:pt>
                <c:pt idx="577">
                  <c:v>-17.484999999999999</c:v>
                </c:pt>
                <c:pt idx="578">
                  <c:v>-17.637599999999999</c:v>
                </c:pt>
                <c:pt idx="579">
                  <c:v>-17.783899999999999</c:v>
                </c:pt>
                <c:pt idx="580">
                  <c:v>-17.926500000000001</c:v>
                </c:pt>
                <c:pt idx="581">
                  <c:v>-18.066099999999999</c:v>
                </c:pt>
                <c:pt idx="582">
                  <c:v>-18.1996</c:v>
                </c:pt>
                <c:pt idx="583">
                  <c:v>-18.2987</c:v>
                </c:pt>
                <c:pt idx="584">
                  <c:v>-18.370200000000001</c:v>
                </c:pt>
                <c:pt idx="585">
                  <c:v>-18.427600000000002</c:v>
                </c:pt>
                <c:pt idx="586">
                  <c:v>-18.479299999999999</c:v>
                </c:pt>
                <c:pt idx="587">
                  <c:v>-18.527000000000001</c:v>
                </c:pt>
                <c:pt idx="588">
                  <c:v>-18.571000000000002</c:v>
                </c:pt>
                <c:pt idx="589">
                  <c:v>-18.611799999999999</c:v>
                </c:pt>
                <c:pt idx="590">
                  <c:v>-18.649699999999999</c:v>
                </c:pt>
                <c:pt idx="591">
                  <c:v>-18.6845</c:v>
                </c:pt>
                <c:pt idx="592">
                  <c:v>-18.717199999999998</c:v>
                </c:pt>
                <c:pt idx="593">
                  <c:v>-18.748000000000001</c:v>
                </c:pt>
                <c:pt idx="594">
                  <c:v>-18.776900000000001</c:v>
                </c:pt>
                <c:pt idx="595">
                  <c:v>-18.802900000000001</c:v>
                </c:pt>
                <c:pt idx="596">
                  <c:v>-18.826899999999998</c:v>
                </c:pt>
                <c:pt idx="597">
                  <c:v>-18.847899999999999</c:v>
                </c:pt>
                <c:pt idx="598">
                  <c:v>-18.865300000000001</c:v>
                </c:pt>
                <c:pt idx="599">
                  <c:v>-18.879899999999999</c:v>
                </c:pt>
                <c:pt idx="600">
                  <c:v>-18.565300000000001</c:v>
                </c:pt>
                <c:pt idx="601">
                  <c:v>-18.248000000000001</c:v>
                </c:pt>
                <c:pt idx="602">
                  <c:v>-17.927</c:v>
                </c:pt>
                <c:pt idx="603">
                  <c:v>-17.6007</c:v>
                </c:pt>
                <c:pt idx="604">
                  <c:v>-17.272500000000001</c:v>
                </c:pt>
                <c:pt idx="605">
                  <c:v>-16.940899999999999</c:v>
                </c:pt>
                <c:pt idx="606">
                  <c:v>-16.604399999999998</c:v>
                </c:pt>
                <c:pt idx="607">
                  <c:v>-16.263999999999999</c:v>
                </c:pt>
                <c:pt idx="608">
                  <c:v>-15.92</c:v>
                </c:pt>
                <c:pt idx="609">
                  <c:v>-15.571400000000001</c:v>
                </c:pt>
                <c:pt idx="610">
                  <c:v>-15.216900000000001</c:v>
                </c:pt>
                <c:pt idx="611">
                  <c:v>-14.857799999999999</c:v>
                </c:pt>
                <c:pt idx="612">
                  <c:v>-14.4939</c:v>
                </c:pt>
                <c:pt idx="613">
                  <c:v>-14.1248</c:v>
                </c:pt>
                <c:pt idx="614">
                  <c:v>-13.7506</c:v>
                </c:pt>
                <c:pt idx="615">
                  <c:v>-13.3714</c:v>
                </c:pt>
                <c:pt idx="616">
                  <c:v>-12.987500000000001</c:v>
                </c:pt>
                <c:pt idx="617">
                  <c:v>-12.5984</c:v>
                </c:pt>
                <c:pt idx="618">
                  <c:v>-12.2058</c:v>
                </c:pt>
                <c:pt idx="619">
                  <c:v>-11.806800000000001</c:v>
                </c:pt>
                <c:pt idx="620">
                  <c:v>-11.400499999999999</c:v>
                </c:pt>
                <c:pt idx="621">
                  <c:v>-10.989599999999999</c:v>
                </c:pt>
                <c:pt idx="622">
                  <c:v>-10.5725</c:v>
                </c:pt>
                <c:pt idx="623">
                  <c:v>-10.169499999999999</c:v>
                </c:pt>
                <c:pt idx="624">
                  <c:v>-9.8095300000000005</c:v>
                </c:pt>
                <c:pt idx="625">
                  <c:v>-9.4655500000000004</c:v>
                </c:pt>
                <c:pt idx="626">
                  <c:v>-9.1230700000000002</c:v>
                </c:pt>
                <c:pt idx="627">
                  <c:v>-8.7752999999999997</c:v>
                </c:pt>
                <c:pt idx="628">
                  <c:v>-8.4118600000000008</c:v>
                </c:pt>
                <c:pt idx="629">
                  <c:v>-8.0256900000000009</c:v>
                </c:pt>
                <c:pt idx="630">
                  <c:v>-7.6171199999999999</c:v>
                </c:pt>
                <c:pt idx="631">
                  <c:v>-7.1665200000000002</c:v>
                </c:pt>
                <c:pt idx="632">
                  <c:v>-6.6801899999999996</c:v>
                </c:pt>
                <c:pt idx="633">
                  <c:v>-6.1710900000000004</c:v>
                </c:pt>
                <c:pt idx="634">
                  <c:v>-5.6232300000000004</c:v>
                </c:pt>
                <c:pt idx="635">
                  <c:v>-5.0800200000000002</c:v>
                </c:pt>
                <c:pt idx="636">
                  <c:v>-4.5106599999999997</c:v>
                </c:pt>
                <c:pt idx="637">
                  <c:v>-3.9157600000000001</c:v>
                </c:pt>
                <c:pt idx="638">
                  <c:v>-3.2910599999999999</c:v>
                </c:pt>
                <c:pt idx="639">
                  <c:v>-2.65327</c:v>
                </c:pt>
                <c:pt idx="640">
                  <c:v>-2.0082</c:v>
                </c:pt>
                <c:pt idx="641">
                  <c:v>-1.35622</c:v>
                </c:pt>
                <c:pt idx="642">
                  <c:v>-0.73206000000000004</c:v>
                </c:pt>
                <c:pt idx="643">
                  <c:v>-9.6580600000000003E-2</c:v>
                </c:pt>
                <c:pt idx="644">
                  <c:v>0.51832</c:v>
                </c:pt>
                <c:pt idx="645">
                  <c:v>1.1237999999999999</c:v>
                </c:pt>
                <c:pt idx="646">
                  <c:v>1.7353000000000001</c:v>
                </c:pt>
                <c:pt idx="647">
                  <c:v>2.3271299999999999</c:v>
                </c:pt>
                <c:pt idx="648">
                  <c:v>2.9177900000000001</c:v>
                </c:pt>
                <c:pt idx="649">
                  <c:v>3.5220799999999999</c:v>
                </c:pt>
                <c:pt idx="650">
                  <c:v>4.1020500000000002</c:v>
                </c:pt>
                <c:pt idx="651">
                  <c:v>4.6673499999999999</c:v>
                </c:pt>
                <c:pt idx="652">
                  <c:v>5.2351099999999997</c:v>
                </c:pt>
                <c:pt idx="653">
                  <c:v>5.7816200000000002</c:v>
                </c:pt>
                <c:pt idx="654">
                  <c:v>6.2899200000000004</c:v>
                </c:pt>
                <c:pt idx="655">
                  <c:v>6.7970600000000001</c:v>
                </c:pt>
                <c:pt idx="656">
                  <c:v>7.3153899999999998</c:v>
                </c:pt>
                <c:pt idx="657">
                  <c:v>7.8358999999999996</c:v>
                </c:pt>
                <c:pt idx="658">
                  <c:v>8.3652899999999999</c:v>
                </c:pt>
                <c:pt idx="659">
                  <c:v>8.9201499999999996</c:v>
                </c:pt>
                <c:pt idx="660">
                  <c:v>9.46983</c:v>
                </c:pt>
                <c:pt idx="661">
                  <c:v>10.010999999999999</c:v>
                </c:pt>
                <c:pt idx="662">
                  <c:v>10.5448</c:v>
                </c:pt>
                <c:pt idx="663">
                  <c:v>11.069100000000001</c:v>
                </c:pt>
                <c:pt idx="664">
                  <c:v>11.5822</c:v>
                </c:pt>
                <c:pt idx="665">
                  <c:v>12.085100000000001</c:v>
                </c:pt>
                <c:pt idx="666">
                  <c:v>12.583299999999999</c:v>
                </c:pt>
                <c:pt idx="667">
                  <c:v>13.073499999999999</c:v>
                </c:pt>
                <c:pt idx="668">
                  <c:v>13.553699999999999</c:v>
                </c:pt>
                <c:pt idx="669">
                  <c:v>13.9885</c:v>
                </c:pt>
                <c:pt idx="670">
                  <c:v>14.3759</c:v>
                </c:pt>
                <c:pt idx="671">
                  <c:v>14.7552</c:v>
                </c:pt>
                <c:pt idx="672">
                  <c:v>15.1288</c:v>
                </c:pt>
                <c:pt idx="673">
                  <c:v>15.4892</c:v>
                </c:pt>
                <c:pt idx="674">
                  <c:v>15.8383</c:v>
                </c:pt>
                <c:pt idx="675">
                  <c:v>16.166799999999999</c:v>
                </c:pt>
                <c:pt idx="676">
                  <c:v>16.478200000000001</c:v>
                </c:pt>
                <c:pt idx="677">
                  <c:v>16.775700000000001</c:v>
                </c:pt>
                <c:pt idx="678">
                  <c:v>17.064499999999999</c:v>
                </c:pt>
                <c:pt idx="679">
                  <c:v>17.343499999999999</c:v>
                </c:pt>
                <c:pt idx="680">
                  <c:v>17.613900000000001</c:v>
                </c:pt>
                <c:pt idx="681">
                  <c:v>17.877400000000002</c:v>
                </c:pt>
                <c:pt idx="682">
                  <c:v>18.131399999999999</c:v>
                </c:pt>
                <c:pt idx="683">
                  <c:v>18.380500000000001</c:v>
                </c:pt>
                <c:pt idx="684">
                  <c:v>18.586600000000001</c:v>
                </c:pt>
                <c:pt idx="685">
                  <c:v>18.543399999999998</c:v>
                </c:pt>
                <c:pt idx="686">
                  <c:v>18.4574</c:v>
                </c:pt>
                <c:pt idx="687">
                  <c:v>18.362200000000001</c:v>
                </c:pt>
                <c:pt idx="688">
                  <c:v>18.264299999999999</c:v>
                </c:pt>
                <c:pt idx="689">
                  <c:v>18.1615</c:v>
                </c:pt>
                <c:pt idx="690">
                  <c:v>18.054099999999998</c:v>
                </c:pt>
                <c:pt idx="691">
                  <c:v>17.943100000000001</c:v>
                </c:pt>
                <c:pt idx="692">
                  <c:v>17.830200000000001</c:v>
                </c:pt>
                <c:pt idx="693">
                  <c:v>17.7164</c:v>
                </c:pt>
                <c:pt idx="694">
                  <c:v>17.600999999999999</c:v>
                </c:pt>
                <c:pt idx="695">
                  <c:v>17.491</c:v>
                </c:pt>
                <c:pt idx="696">
                  <c:v>17.389399999999998</c:v>
                </c:pt>
                <c:pt idx="697">
                  <c:v>17.292999999999999</c:v>
                </c:pt>
                <c:pt idx="698">
                  <c:v>17.200500000000002</c:v>
                </c:pt>
                <c:pt idx="699">
                  <c:v>17.1142</c:v>
                </c:pt>
                <c:pt idx="700">
                  <c:v>16.6539</c:v>
                </c:pt>
                <c:pt idx="701">
                  <c:v>16.1845</c:v>
                </c:pt>
                <c:pt idx="702">
                  <c:v>15.702400000000001</c:v>
                </c:pt>
                <c:pt idx="703">
                  <c:v>15.2056</c:v>
                </c:pt>
                <c:pt idx="704">
                  <c:v>14.6928</c:v>
                </c:pt>
                <c:pt idx="705">
                  <c:v>14.164099999999999</c:v>
                </c:pt>
                <c:pt idx="706">
                  <c:v>13.623799999999999</c:v>
                </c:pt>
                <c:pt idx="707">
                  <c:v>13.076700000000001</c:v>
                </c:pt>
                <c:pt idx="708">
                  <c:v>12.521100000000001</c:v>
                </c:pt>
                <c:pt idx="709">
                  <c:v>11.9573</c:v>
                </c:pt>
                <c:pt idx="710">
                  <c:v>11.3878</c:v>
                </c:pt>
                <c:pt idx="711">
                  <c:v>10.809699999999999</c:v>
                </c:pt>
                <c:pt idx="712">
                  <c:v>10.223800000000001</c:v>
                </c:pt>
                <c:pt idx="713">
                  <c:v>9.6337600000000005</c:v>
                </c:pt>
                <c:pt idx="714">
                  <c:v>9.0382999999999996</c:v>
                </c:pt>
                <c:pt idx="715">
                  <c:v>8.4359800000000007</c:v>
                </c:pt>
                <c:pt idx="716">
                  <c:v>7.83127</c:v>
                </c:pt>
                <c:pt idx="717">
                  <c:v>7.2330800000000002</c:v>
                </c:pt>
                <c:pt idx="718">
                  <c:v>6.6563100000000004</c:v>
                </c:pt>
                <c:pt idx="719">
                  <c:v>6.0785900000000002</c:v>
                </c:pt>
                <c:pt idx="720">
                  <c:v>5.4992700000000001</c:v>
                </c:pt>
                <c:pt idx="721">
                  <c:v>4.9211999999999998</c:v>
                </c:pt>
                <c:pt idx="722">
                  <c:v>4.3860200000000003</c:v>
                </c:pt>
                <c:pt idx="723">
                  <c:v>3.8576899999999998</c:v>
                </c:pt>
                <c:pt idx="724">
                  <c:v>3.3285</c:v>
                </c:pt>
                <c:pt idx="725">
                  <c:v>2.79847</c:v>
                </c:pt>
                <c:pt idx="726">
                  <c:v>2.2683800000000001</c:v>
                </c:pt>
                <c:pt idx="727">
                  <c:v>1.7307699999999999</c:v>
                </c:pt>
                <c:pt idx="728">
                  <c:v>1.18665</c:v>
                </c:pt>
                <c:pt idx="729">
                  <c:v>0.643258</c:v>
                </c:pt>
                <c:pt idx="730">
                  <c:v>0.14613899999999999</c:v>
                </c:pt>
                <c:pt idx="731">
                  <c:v>-0.310419</c:v>
                </c:pt>
                <c:pt idx="732">
                  <c:v>-0.75789099999999998</c:v>
                </c:pt>
                <c:pt idx="733">
                  <c:v>-1.1995499999999999</c:v>
                </c:pt>
                <c:pt idx="734">
                  <c:v>-1.5702</c:v>
                </c:pt>
                <c:pt idx="735">
                  <c:v>-1.9372400000000001</c:v>
                </c:pt>
                <c:pt idx="736">
                  <c:v>-2.3263799999999999</c:v>
                </c:pt>
                <c:pt idx="737">
                  <c:v>-2.71279</c:v>
                </c:pt>
                <c:pt idx="738">
                  <c:v>-3.08941</c:v>
                </c:pt>
                <c:pt idx="739">
                  <c:v>-3.4723799999999998</c:v>
                </c:pt>
                <c:pt idx="740">
                  <c:v>-3.8668</c:v>
                </c:pt>
                <c:pt idx="741">
                  <c:v>-4.2507900000000003</c:v>
                </c:pt>
                <c:pt idx="742">
                  <c:v>-4.6373800000000003</c:v>
                </c:pt>
                <c:pt idx="743">
                  <c:v>-5.0439299999999996</c:v>
                </c:pt>
                <c:pt idx="744">
                  <c:v>-5.4601899999999999</c:v>
                </c:pt>
                <c:pt idx="745">
                  <c:v>-5.8855300000000002</c:v>
                </c:pt>
                <c:pt idx="746">
                  <c:v>-6.3399299999999998</c:v>
                </c:pt>
                <c:pt idx="747">
                  <c:v>-6.80959</c:v>
                </c:pt>
                <c:pt idx="748">
                  <c:v>-7.2935299999999996</c:v>
                </c:pt>
                <c:pt idx="749">
                  <c:v>-7.8087900000000001</c:v>
                </c:pt>
                <c:pt idx="750">
                  <c:v>-8.3300599999999996</c:v>
                </c:pt>
                <c:pt idx="751">
                  <c:v>-8.8692799999999998</c:v>
                </c:pt>
                <c:pt idx="752">
                  <c:v>-9.3897700000000004</c:v>
                </c:pt>
                <c:pt idx="753">
                  <c:v>-9.9050100000000008</c:v>
                </c:pt>
                <c:pt idx="754">
                  <c:v>-10.4213</c:v>
                </c:pt>
                <c:pt idx="755">
                  <c:v>-10.9383</c:v>
                </c:pt>
                <c:pt idx="756">
                  <c:v>-11.4444</c:v>
                </c:pt>
                <c:pt idx="757">
                  <c:v>-11.9472</c:v>
                </c:pt>
                <c:pt idx="758">
                  <c:v>-12.436</c:v>
                </c:pt>
                <c:pt idx="759">
                  <c:v>-12.8996</c:v>
                </c:pt>
                <c:pt idx="760">
                  <c:v>-13.3337</c:v>
                </c:pt>
                <c:pt idx="761">
                  <c:v>-13.734</c:v>
                </c:pt>
                <c:pt idx="762">
                  <c:v>-14.1074</c:v>
                </c:pt>
                <c:pt idx="763">
                  <c:v>-14.446199999999999</c:v>
                </c:pt>
                <c:pt idx="764">
                  <c:v>-14.7547</c:v>
                </c:pt>
                <c:pt idx="765">
                  <c:v>-15.047599999999999</c:v>
                </c:pt>
                <c:pt idx="766">
                  <c:v>-15.3201</c:v>
                </c:pt>
                <c:pt idx="767">
                  <c:v>-15.5763</c:v>
                </c:pt>
                <c:pt idx="768">
                  <c:v>-15.8264</c:v>
                </c:pt>
                <c:pt idx="769">
                  <c:v>-16.0627</c:v>
                </c:pt>
                <c:pt idx="770">
                  <c:v>-16.286799999999999</c:v>
                </c:pt>
                <c:pt idx="771">
                  <c:v>-16.504300000000001</c:v>
                </c:pt>
                <c:pt idx="772">
                  <c:v>-16.7182</c:v>
                </c:pt>
                <c:pt idx="773">
                  <c:v>-16.921199999999999</c:v>
                </c:pt>
                <c:pt idx="774">
                  <c:v>-17.102399999999999</c:v>
                </c:pt>
                <c:pt idx="775">
                  <c:v>-17.275400000000001</c:v>
                </c:pt>
                <c:pt idx="776">
                  <c:v>-17.4451</c:v>
                </c:pt>
                <c:pt idx="777">
                  <c:v>-17.61</c:v>
                </c:pt>
                <c:pt idx="778">
                  <c:v>-17.768799999999999</c:v>
                </c:pt>
                <c:pt idx="779">
                  <c:v>-17.9237</c:v>
                </c:pt>
                <c:pt idx="780">
                  <c:v>-18.074300000000001</c:v>
                </c:pt>
                <c:pt idx="781">
                  <c:v>-18.220600000000001</c:v>
                </c:pt>
                <c:pt idx="782">
                  <c:v>-18.365100000000002</c:v>
                </c:pt>
                <c:pt idx="783">
                  <c:v>-18.508099999999999</c:v>
                </c:pt>
                <c:pt idx="784">
                  <c:v>-18.6492</c:v>
                </c:pt>
                <c:pt idx="785">
                  <c:v>-18.776399999999999</c:v>
                </c:pt>
                <c:pt idx="786">
                  <c:v>-18.861599999999999</c:v>
                </c:pt>
                <c:pt idx="787">
                  <c:v>-18.893999999999998</c:v>
                </c:pt>
                <c:pt idx="788">
                  <c:v>-18.909199999999998</c:v>
                </c:pt>
                <c:pt idx="789">
                  <c:v>-18.908200000000001</c:v>
                </c:pt>
                <c:pt idx="790">
                  <c:v>-18.9039</c:v>
                </c:pt>
                <c:pt idx="791">
                  <c:v>-18.896999999999998</c:v>
                </c:pt>
                <c:pt idx="792">
                  <c:v>-18.887599999999999</c:v>
                </c:pt>
                <c:pt idx="793">
                  <c:v>-18.875399999999999</c:v>
                </c:pt>
                <c:pt idx="794">
                  <c:v>-18.861699999999999</c:v>
                </c:pt>
                <c:pt idx="795">
                  <c:v>-18.846900000000002</c:v>
                </c:pt>
                <c:pt idx="796">
                  <c:v>-18.8306</c:v>
                </c:pt>
                <c:pt idx="797">
                  <c:v>-18.8126</c:v>
                </c:pt>
                <c:pt idx="798">
                  <c:v>-18.7928</c:v>
                </c:pt>
                <c:pt idx="799">
                  <c:v>-18.770800000000001</c:v>
                </c:pt>
                <c:pt idx="800">
                  <c:v>-18.3795</c:v>
                </c:pt>
                <c:pt idx="801">
                  <c:v>-17.9832</c:v>
                </c:pt>
                <c:pt idx="802">
                  <c:v>-17.581499999999998</c:v>
                </c:pt>
                <c:pt idx="803">
                  <c:v>-17.175899999999999</c:v>
                </c:pt>
                <c:pt idx="804">
                  <c:v>-16.7638</c:v>
                </c:pt>
                <c:pt idx="805">
                  <c:v>-16.345400000000001</c:v>
                </c:pt>
                <c:pt idx="806">
                  <c:v>-15.921900000000001</c:v>
                </c:pt>
                <c:pt idx="807">
                  <c:v>-15.4922</c:v>
                </c:pt>
                <c:pt idx="808">
                  <c:v>-15.0547</c:v>
                </c:pt>
                <c:pt idx="809">
                  <c:v>-14.613</c:v>
                </c:pt>
                <c:pt idx="810">
                  <c:v>-14.162699999999999</c:v>
                </c:pt>
                <c:pt idx="811">
                  <c:v>-13.7064</c:v>
                </c:pt>
                <c:pt idx="812">
                  <c:v>-13.2461</c:v>
                </c:pt>
                <c:pt idx="813">
                  <c:v>-12.7798</c:v>
                </c:pt>
                <c:pt idx="814">
                  <c:v>-12.3087</c:v>
                </c:pt>
                <c:pt idx="815">
                  <c:v>-11.831799999999999</c:v>
                </c:pt>
                <c:pt idx="816">
                  <c:v>-11.350199999999999</c:v>
                </c:pt>
                <c:pt idx="817">
                  <c:v>-10.8896</c:v>
                </c:pt>
                <c:pt idx="818">
                  <c:v>-10.457000000000001</c:v>
                </c:pt>
                <c:pt idx="819">
                  <c:v>-10.095499999999999</c:v>
                </c:pt>
                <c:pt idx="820">
                  <c:v>-9.7382100000000005</c:v>
                </c:pt>
                <c:pt idx="821">
                  <c:v>-9.3886699999999994</c:v>
                </c:pt>
                <c:pt idx="822">
                  <c:v>-9.0353100000000008</c:v>
                </c:pt>
                <c:pt idx="823">
                  <c:v>-8.6796600000000002</c:v>
                </c:pt>
                <c:pt idx="824">
                  <c:v>-8.3398099999999999</c:v>
                </c:pt>
                <c:pt idx="825">
                  <c:v>-8.0033999999999992</c:v>
                </c:pt>
                <c:pt idx="826">
                  <c:v>-7.7434799999999999</c:v>
                </c:pt>
                <c:pt idx="827">
                  <c:v>-7.5039600000000002</c:v>
                </c:pt>
                <c:pt idx="828">
                  <c:v>-7.2713400000000004</c:v>
                </c:pt>
                <c:pt idx="829">
                  <c:v>-7.0285200000000003</c:v>
                </c:pt>
                <c:pt idx="830">
                  <c:v>-6.7652099999999997</c:v>
                </c:pt>
                <c:pt idx="831">
                  <c:v>-6.4800300000000002</c:v>
                </c:pt>
                <c:pt idx="832">
                  <c:v>-6.1413799999999998</c:v>
                </c:pt>
                <c:pt idx="833">
                  <c:v>-5.7270000000000003</c:v>
                </c:pt>
                <c:pt idx="834">
                  <c:v>-5.2401400000000002</c:v>
                </c:pt>
                <c:pt idx="835">
                  <c:v>-4.7031499999999999</c:v>
                </c:pt>
                <c:pt idx="836">
                  <c:v>-4.1541199999999998</c:v>
                </c:pt>
                <c:pt idx="837">
                  <c:v>-3.5910299999999999</c:v>
                </c:pt>
                <c:pt idx="838">
                  <c:v>-3.0129800000000002</c:v>
                </c:pt>
                <c:pt idx="839">
                  <c:v>-2.4445399999999999</c:v>
                </c:pt>
                <c:pt idx="840">
                  <c:v>-1.8846099999999999</c:v>
                </c:pt>
                <c:pt idx="841">
                  <c:v>-1.33229</c:v>
                </c:pt>
                <c:pt idx="842">
                  <c:v>-0.77975300000000003</c:v>
                </c:pt>
                <c:pt idx="843">
                  <c:v>-0.254247</c:v>
                </c:pt>
                <c:pt idx="844">
                  <c:v>0.25860699999999998</c:v>
                </c:pt>
                <c:pt idx="845">
                  <c:v>0.77025299999999997</c:v>
                </c:pt>
                <c:pt idx="846">
                  <c:v>1.2255199999999999</c:v>
                </c:pt>
                <c:pt idx="847">
                  <c:v>1.6600299999999999</c:v>
                </c:pt>
                <c:pt idx="848">
                  <c:v>2.0990600000000001</c:v>
                </c:pt>
                <c:pt idx="849">
                  <c:v>2.5264799999999998</c:v>
                </c:pt>
                <c:pt idx="850">
                  <c:v>2.9402599999999999</c:v>
                </c:pt>
                <c:pt idx="851">
                  <c:v>3.3505400000000001</c:v>
                </c:pt>
                <c:pt idx="852">
                  <c:v>3.7546200000000001</c:v>
                </c:pt>
                <c:pt idx="853">
                  <c:v>4.1713399999999998</c:v>
                </c:pt>
                <c:pt idx="854">
                  <c:v>4.5825699999999996</c:v>
                </c:pt>
                <c:pt idx="855">
                  <c:v>5.0051800000000002</c:v>
                </c:pt>
                <c:pt idx="856">
                  <c:v>5.4421499999999998</c:v>
                </c:pt>
                <c:pt idx="857">
                  <c:v>5.90055</c:v>
                </c:pt>
                <c:pt idx="858">
                  <c:v>6.3582000000000001</c:v>
                </c:pt>
                <c:pt idx="859">
                  <c:v>6.8120500000000002</c:v>
                </c:pt>
                <c:pt idx="860">
                  <c:v>7.19909</c:v>
                </c:pt>
                <c:pt idx="861">
                  <c:v>7.5909199999999997</c:v>
                </c:pt>
                <c:pt idx="862">
                  <c:v>7.9905400000000002</c:v>
                </c:pt>
                <c:pt idx="863">
                  <c:v>8.4071400000000001</c:v>
                </c:pt>
                <c:pt idx="864">
                  <c:v>8.8383900000000004</c:v>
                </c:pt>
                <c:pt idx="865">
                  <c:v>9.2661800000000003</c:v>
                </c:pt>
                <c:pt idx="866">
                  <c:v>9.6828599999999998</c:v>
                </c:pt>
                <c:pt idx="867">
                  <c:v>10.0892</c:v>
                </c:pt>
                <c:pt idx="868">
                  <c:v>10.491199999999999</c:v>
                </c:pt>
                <c:pt idx="869">
                  <c:v>10.8901</c:v>
                </c:pt>
                <c:pt idx="870">
                  <c:v>11.283899999999999</c:v>
                </c:pt>
                <c:pt idx="871">
                  <c:v>11.670500000000001</c:v>
                </c:pt>
                <c:pt idx="872">
                  <c:v>12.0519</c:v>
                </c:pt>
                <c:pt idx="873">
                  <c:v>12.4254</c:v>
                </c:pt>
                <c:pt idx="874">
                  <c:v>12.7964</c:v>
                </c:pt>
                <c:pt idx="875">
                  <c:v>13.165100000000001</c:v>
                </c:pt>
                <c:pt idx="876">
                  <c:v>13.531000000000001</c:v>
                </c:pt>
                <c:pt idx="877">
                  <c:v>13.8918</c:v>
                </c:pt>
                <c:pt idx="878">
                  <c:v>14.2425</c:v>
                </c:pt>
                <c:pt idx="879">
                  <c:v>14.587</c:v>
                </c:pt>
                <c:pt idx="880">
                  <c:v>14.9245</c:v>
                </c:pt>
                <c:pt idx="881">
                  <c:v>15.2562</c:v>
                </c:pt>
                <c:pt idx="882">
                  <c:v>15.5831</c:v>
                </c:pt>
                <c:pt idx="883">
                  <c:v>15.898899999999999</c:v>
                </c:pt>
                <c:pt idx="884">
                  <c:v>16.201699999999999</c:v>
                </c:pt>
                <c:pt idx="885">
                  <c:v>16.489699999999999</c:v>
                </c:pt>
                <c:pt idx="886">
                  <c:v>16.761399999999998</c:v>
                </c:pt>
                <c:pt idx="887">
                  <c:v>17.006399999999999</c:v>
                </c:pt>
                <c:pt idx="888">
                  <c:v>17.0062</c:v>
                </c:pt>
                <c:pt idx="889">
                  <c:v>16.907900000000001</c:v>
                </c:pt>
                <c:pt idx="890">
                  <c:v>16.8184</c:v>
                </c:pt>
                <c:pt idx="891">
                  <c:v>16.73</c:v>
                </c:pt>
                <c:pt idx="892">
                  <c:v>16.644400000000001</c:v>
                </c:pt>
                <c:pt idx="893">
                  <c:v>16.563199999999998</c:v>
                </c:pt>
                <c:pt idx="894">
                  <c:v>16.485299999999999</c:v>
                </c:pt>
                <c:pt idx="895">
                  <c:v>16.412299999999998</c:v>
                </c:pt>
                <c:pt idx="896">
                  <c:v>16.3444</c:v>
                </c:pt>
                <c:pt idx="897">
                  <c:v>16.2773</c:v>
                </c:pt>
                <c:pt idx="898">
                  <c:v>16.213999999999999</c:v>
                </c:pt>
                <c:pt idx="899">
                  <c:v>16.154399999999999</c:v>
                </c:pt>
                <c:pt idx="900">
                  <c:v>15.5677</c:v>
                </c:pt>
                <c:pt idx="901">
                  <c:v>14.9702</c:v>
                </c:pt>
                <c:pt idx="902">
                  <c:v>14.3637</c:v>
                </c:pt>
                <c:pt idx="903">
                  <c:v>13.7479</c:v>
                </c:pt>
                <c:pt idx="904">
                  <c:v>13.1258</c:v>
                </c:pt>
                <c:pt idx="905">
                  <c:v>12.497</c:v>
                </c:pt>
                <c:pt idx="906">
                  <c:v>11.860900000000001</c:v>
                </c:pt>
                <c:pt idx="907">
                  <c:v>11.2204</c:v>
                </c:pt>
                <c:pt idx="908">
                  <c:v>10.574</c:v>
                </c:pt>
                <c:pt idx="909">
                  <c:v>9.9224499999999995</c:v>
                </c:pt>
                <c:pt idx="910">
                  <c:v>9.2657299999999996</c:v>
                </c:pt>
                <c:pt idx="911">
                  <c:v>8.6044300000000007</c:v>
                </c:pt>
                <c:pt idx="912">
                  <c:v>7.9569000000000001</c:v>
                </c:pt>
                <c:pt idx="913">
                  <c:v>7.3371500000000003</c:v>
                </c:pt>
                <c:pt idx="914">
                  <c:v>6.7123100000000004</c:v>
                </c:pt>
                <c:pt idx="915">
                  <c:v>6.0852500000000003</c:v>
                </c:pt>
                <c:pt idx="916">
                  <c:v>5.4634499999999999</c:v>
                </c:pt>
                <c:pt idx="917">
                  <c:v>4.9051499999999999</c:v>
                </c:pt>
                <c:pt idx="918">
                  <c:v>4.3540700000000001</c:v>
                </c:pt>
                <c:pt idx="919">
                  <c:v>3.8025099999999998</c:v>
                </c:pt>
                <c:pt idx="920">
                  <c:v>3.2482600000000001</c:v>
                </c:pt>
                <c:pt idx="921">
                  <c:v>2.6888100000000001</c:v>
                </c:pt>
                <c:pt idx="922">
                  <c:v>2.16526</c:v>
                </c:pt>
                <c:pt idx="923">
                  <c:v>1.6894100000000001</c:v>
                </c:pt>
                <c:pt idx="924">
                  <c:v>1.21149</c:v>
                </c:pt>
                <c:pt idx="925">
                  <c:v>0.73458599999999996</c:v>
                </c:pt>
                <c:pt idx="926">
                  <c:v>0.25870399999999999</c:v>
                </c:pt>
                <c:pt idx="927">
                  <c:v>-0.18689</c:v>
                </c:pt>
                <c:pt idx="928">
                  <c:v>-0.564944</c:v>
                </c:pt>
                <c:pt idx="929">
                  <c:v>-0.95243199999999995</c:v>
                </c:pt>
                <c:pt idx="930">
                  <c:v>-1.3364400000000001</c:v>
                </c:pt>
                <c:pt idx="931">
                  <c:v>-1.71651</c:v>
                </c:pt>
                <c:pt idx="932">
                  <c:v>-2.1010599999999999</c:v>
                </c:pt>
                <c:pt idx="933">
                  <c:v>-2.4886499999999998</c:v>
                </c:pt>
                <c:pt idx="934">
                  <c:v>-2.8583799999999999</c:v>
                </c:pt>
                <c:pt idx="935">
                  <c:v>-3.2191800000000002</c:v>
                </c:pt>
                <c:pt idx="936">
                  <c:v>-3.5889500000000001</c:v>
                </c:pt>
                <c:pt idx="937">
                  <c:v>-3.9500099999999998</c:v>
                </c:pt>
                <c:pt idx="938">
                  <c:v>-4.3005199999999997</c:v>
                </c:pt>
                <c:pt idx="939">
                  <c:v>-4.6509200000000002</c:v>
                </c:pt>
                <c:pt idx="940">
                  <c:v>-4.9985299999999997</c:v>
                </c:pt>
                <c:pt idx="941">
                  <c:v>-5.3160400000000001</c:v>
                </c:pt>
                <c:pt idx="942">
                  <c:v>-5.6271000000000004</c:v>
                </c:pt>
                <c:pt idx="943">
                  <c:v>-5.9314099999999996</c:v>
                </c:pt>
                <c:pt idx="944">
                  <c:v>-6.2456399999999999</c:v>
                </c:pt>
                <c:pt idx="945">
                  <c:v>-6.5771899999999999</c:v>
                </c:pt>
                <c:pt idx="946">
                  <c:v>-6.9096299999999999</c:v>
                </c:pt>
                <c:pt idx="947">
                  <c:v>-7.2544300000000002</c:v>
                </c:pt>
                <c:pt idx="948">
                  <c:v>-7.6188000000000002</c:v>
                </c:pt>
                <c:pt idx="949">
                  <c:v>-8.0051000000000005</c:v>
                </c:pt>
                <c:pt idx="950">
                  <c:v>-8.3992699999999996</c:v>
                </c:pt>
                <c:pt idx="951">
                  <c:v>-8.8190200000000001</c:v>
                </c:pt>
                <c:pt idx="952">
                  <c:v>-9.2565899999999992</c:v>
                </c:pt>
                <c:pt idx="953">
                  <c:v>-9.6992899999999995</c:v>
                </c:pt>
                <c:pt idx="954">
                  <c:v>-10.1594</c:v>
                </c:pt>
                <c:pt idx="955">
                  <c:v>-10.638400000000001</c:v>
                </c:pt>
                <c:pt idx="956">
                  <c:v>-11.126200000000001</c:v>
                </c:pt>
                <c:pt idx="957">
                  <c:v>-11.604100000000001</c:v>
                </c:pt>
                <c:pt idx="958">
                  <c:v>-12.0863</c:v>
                </c:pt>
                <c:pt idx="959">
                  <c:v>-12.5641</c:v>
                </c:pt>
                <c:pt idx="960">
                  <c:v>-13.027200000000001</c:v>
                </c:pt>
                <c:pt idx="961">
                  <c:v>-13.455399999999999</c:v>
                </c:pt>
                <c:pt idx="962">
                  <c:v>-13.837</c:v>
                </c:pt>
                <c:pt idx="963">
                  <c:v>-14.1868</c:v>
                </c:pt>
                <c:pt idx="964">
                  <c:v>-14.505699999999999</c:v>
                </c:pt>
                <c:pt idx="965">
                  <c:v>-14.7995</c:v>
                </c:pt>
                <c:pt idx="966">
                  <c:v>-15.0815</c:v>
                </c:pt>
                <c:pt idx="967">
                  <c:v>-15.353300000000001</c:v>
                </c:pt>
                <c:pt idx="968">
                  <c:v>-15.610799999999999</c:v>
                </c:pt>
                <c:pt idx="969">
                  <c:v>-15.853999999999999</c:v>
                </c:pt>
                <c:pt idx="970">
                  <c:v>-16.091799999999999</c:v>
                </c:pt>
                <c:pt idx="971">
                  <c:v>-16.325099999999999</c:v>
                </c:pt>
                <c:pt idx="972">
                  <c:v>-16.546900000000001</c:v>
                </c:pt>
                <c:pt idx="973">
                  <c:v>-16.7439</c:v>
                </c:pt>
                <c:pt idx="974">
                  <c:v>-16.931799999999999</c:v>
                </c:pt>
                <c:pt idx="975">
                  <c:v>-17.1172</c:v>
                </c:pt>
                <c:pt idx="976">
                  <c:v>-17.299700000000001</c:v>
                </c:pt>
                <c:pt idx="977">
                  <c:v>-17.478899999999999</c:v>
                </c:pt>
                <c:pt idx="978">
                  <c:v>-17.651399999999999</c:v>
                </c:pt>
                <c:pt idx="979">
                  <c:v>-17.8215</c:v>
                </c:pt>
                <c:pt idx="980">
                  <c:v>-17.950900000000001</c:v>
                </c:pt>
                <c:pt idx="981">
                  <c:v>-18.062799999999999</c:v>
                </c:pt>
                <c:pt idx="982">
                  <c:v>-18.172699999999999</c:v>
                </c:pt>
                <c:pt idx="983">
                  <c:v>-18.281099999999999</c:v>
                </c:pt>
                <c:pt idx="984">
                  <c:v>-18.387499999999999</c:v>
                </c:pt>
                <c:pt idx="985">
                  <c:v>-18.488199999999999</c:v>
                </c:pt>
                <c:pt idx="986">
                  <c:v>-18.585000000000001</c:v>
                </c:pt>
                <c:pt idx="987">
                  <c:v>-18.676600000000001</c:v>
                </c:pt>
                <c:pt idx="988">
                  <c:v>-18.736799999999999</c:v>
                </c:pt>
                <c:pt idx="989">
                  <c:v>-18.722100000000001</c:v>
                </c:pt>
                <c:pt idx="990">
                  <c:v>-18.697700000000001</c:v>
                </c:pt>
                <c:pt idx="991">
                  <c:v>-18.6678</c:v>
                </c:pt>
                <c:pt idx="992">
                  <c:v>-18.635400000000001</c:v>
                </c:pt>
                <c:pt idx="993">
                  <c:v>-18.601400000000002</c:v>
                </c:pt>
                <c:pt idx="994">
                  <c:v>-18.5657</c:v>
                </c:pt>
                <c:pt idx="995">
                  <c:v>-18.525500000000001</c:v>
                </c:pt>
                <c:pt idx="996">
                  <c:v>-18.4817</c:v>
                </c:pt>
                <c:pt idx="997">
                  <c:v>-18.4343</c:v>
                </c:pt>
                <c:pt idx="998">
                  <c:v>-18.381599999999999</c:v>
                </c:pt>
                <c:pt idx="999">
                  <c:v>-18.3217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06-43C3-B00D-1028B6222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722880"/>
        <c:axId val="526724544"/>
      </c:scatterChart>
      <c:valAx>
        <c:axId val="52672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526724544"/>
        <c:crosses val="autoZero"/>
        <c:crossBetween val="midCat"/>
      </c:valAx>
      <c:valAx>
        <c:axId val="52672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52672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zh-H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Axial force =19125 kN</a:t>
            </a:r>
            <a:endParaRPr 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HK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Result!$H$1:$H$5000</c:f>
              <c:numCache>
                <c:formatCode>General</c:formatCode>
                <c:ptCount val="5000"/>
                <c:pt idx="0">
                  <c:v>3.9292399999999998E-2</c:v>
                </c:pt>
                <c:pt idx="1">
                  <c:v>8.9292399999999994E-2</c:v>
                </c:pt>
                <c:pt idx="2">
                  <c:v>0.139292</c:v>
                </c:pt>
                <c:pt idx="3">
                  <c:v>0.18929199999999999</c:v>
                </c:pt>
                <c:pt idx="4">
                  <c:v>0.239292</c:v>
                </c:pt>
                <c:pt idx="5">
                  <c:v>0.28929199999999999</c:v>
                </c:pt>
                <c:pt idx="6">
                  <c:v>0.33929199999999998</c:v>
                </c:pt>
                <c:pt idx="7">
                  <c:v>0.38929200000000003</c:v>
                </c:pt>
                <c:pt idx="8">
                  <c:v>0.43929200000000002</c:v>
                </c:pt>
                <c:pt idx="9">
                  <c:v>0.489292</c:v>
                </c:pt>
                <c:pt idx="10">
                  <c:v>0.53929199999999999</c:v>
                </c:pt>
                <c:pt idx="11">
                  <c:v>0.58929200000000004</c:v>
                </c:pt>
                <c:pt idx="12">
                  <c:v>0.63929199999999997</c:v>
                </c:pt>
                <c:pt idx="13">
                  <c:v>0.68929200000000002</c:v>
                </c:pt>
                <c:pt idx="14">
                  <c:v>0.73929199999999995</c:v>
                </c:pt>
                <c:pt idx="15">
                  <c:v>0.78929199999999999</c:v>
                </c:pt>
                <c:pt idx="16">
                  <c:v>0.83929200000000004</c:v>
                </c:pt>
                <c:pt idx="17">
                  <c:v>0.88929199999999997</c:v>
                </c:pt>
                <c:pt idx="18">
                  <c:v>0.93929200000000002</c:v>
                </c:pt>
                <c:pt idx="19">
                  <c:v>0.98929199999999995</c:v>
                </c:pt>
                <c:pt idx="20">
                  <c:v>1.03929</c:v>
                </c:pt>
                <c:pt idx="21">
                  <c:v>1.0892900000000001</c:v>
                </c:pt>
                <c:pt idx="22">
                  <c:v>1.1392899999999999</c:v>
                </c:pt>
                <c:pt idx="23">
                  <c:v>1.18929</c:v>
                </c:pt>
                <c:pt idx="24">
                  <c:v>1.23929</c:v>
                </c:pt>
                <c:pt idx="25">
                  <c:v>1.28929</c:v>
                </c:pt>
                <c:pt idx="26">
                  <c:v>1.3392900000000001</c:v>
                </c:pt>
                <c:pt idx="27">
                  <c:v>1.3892899999999999</c:v>
                </c:pt>
                <c:pt idx="28">
                  <c:v>1.43929</c:v>
                </c:pt>
                <c:pt idx="29">
                  <c:v>1.48929</c:v>
                </c:pt>
                <c:pt idx="30">
                  <c:v>1.53929</c:v>
                </c:pt>
                <c:pt idx="31">
                  <c:v>1.5892900000000001</c:v>
                </c:pt>
                <c:pt idx="32">
                  <c:v>1.6392899999999999</c:v>
                </c:pt>
                <c:pt idx="33">
                  <c:v>1.68929</c:v>
                </c:pt>
                <c:pt idx="34">
                  <c:v>1.73929</c:v>
                </c:pt>
                <c:pt idx="35">
                  <c:v>1.78929</c:v>
                </c:pt>
                <c:pt idx="36">
                  <c:v>1.8392900000000001</c:v>
                </c:pt>
                <c:pt idx="37">
                  <c:v>1.8892899999999999</c:v>
                </c:pt>
                <c:pt idx="38">
                  <c:v>1.93929</c:v>
                </c:pt>
                <c:pt idx="39">
                  <c:v>1.98929</c:v>
                </c:pt>
                <c:pt idx="40">
                  <c:v>2.0392899999999998</c:v>
                </c:pt>
                <c:pt idx="41">
                  <c:v>2.0892900000000001</c:v>
                </c:pt>
                <c:pt idx="42">
                  <c:v>2.1392899999999999</c:v>
                </c:pt>
                <c:pt idx="43">
                  <c:v>2.1892900000000002</c:v>
                </c:pt>
                <c:pt idx="44">
                  <c:v>2.23929</c:v>
                </c:pt>
                <c:pt idx="45">
                  <c:v>2.2892899999999998</c:v>
                </c:pt>
                <c:pt idx="46">
                  <c:v>2.3392900000000001</c:v>
                </c:pt>
                <c:pt idx="47">
                  <c:v>2.3892899999999999</c:v>
                </c:pt>
                <c:pt idx="48">
                  <c:v>2.4392900000000002</c:v>
                </c:pt>
                <c:pt idx="49">
                  <c:v>2.48929</c:v>
                </c:pt>
                <c:pt idx="50">
                  <c:v>2.5392899999999998</c:v>
                </c:pt>
                <c:pt idx="51">
                  <c:v>2.5892900000000001</c:v>
                </c:pt>
                <c:pt idx="52">
                  <c:v>2.6392899999999999</c:v>
                </c:pt>
                <c:pt idx="53">
                  <c:v>2.6892900000000002</c:v>
                </c:pt>
                <c:pt idx="54">
                  <c:v>2.73929</c:v>
                </c:pt>
                <c:pt idx="55">
                  <c:v>2.7892899999999998</c:v>
                </c:pt>
                <c:pt idx="56">
                  <c:v>2.8392900000000001</c:v>
                </c:pt>
                <c:pt idx="57">
                  <c:v>2.8892899999999999</c:v>
                </c:pt>
                <c:pt idx="58">
                  <c:v>2.9392900000000002</c:v>
                </c:pt>
                <c:pt idx="59">
                  <c:v>2.98929</c:v>
                </c:pt>
                <c:pt idx="60">
                  <c:v>3.0392899999999998</c:v>
                </c:pt>
                <c:pt idx="61">
                  <c:v>3.0892900000000001</c:v>
                </c:pt>
                <c:pt idx="62">
                  <c:v>3.1392899999999999</c:v>
                </c:pt>
                <c:pt idx="63">
                  <c:v>3.1892900000000002</c:v>
                </c:pt>
                <c:pt idx="64">
                  <c:v>3.23929</c:v>
                </c:pt>
                <c:pt idx="65">
                  <c:v>3.2892899999999998</c:v>
                </c:pt>
                <c:pt idx="66">
                  <c:v>3.3392900000000001</c:v>
                </c:pt>
                <c:pt idx="67">
                  <c:v>3.3892899999999999</c:v>
                </c:pt>
                <c:pt idx="68">
                  <c:v>3.4392900000000002</c:v>
                </c:pt>
                <c:pt idx="69">
                  <c:v>3.48929</c:v>
                </c:pt>
                <c:pt idx="70">
                  <c:v>3.5392899999999998</c:v>
                </c:pt>
                <c:pt idx="71">
                  <c:v>3.5892900000000001</c:v>
                </c:pt>
                <c:pt idx="72">
                  <c:v>3.6392899999999999</c:v>
                </c:pt>
                <c:pt idx="73">
                  <c:v>3.6892900000000002</c:v>
                </c:pt>
                <c:pt idx="74">
                  <c:v>3.73929</c:v>
                </c:pt>
                <c:pt idx="75">
                  <c:v>3.7892899999999998</c:v>
                </c:pt>
                <c:pt idx="76">
                  <c:v>3.8392900000000001</c:v>
                </c:pt>
                <c:pt idx="77">
                  <c:v>3.8892899999999999</c:v>
                </c:pt>
                <c:pt idx="78">
                  <c:v>3.9392900000000002</c:v>
                </c:pt>
                <c:pt idx="79">
                  <c:v>3.98929</c:v>
                </c:pt>
                <c:pt idx="80">
                  <c:v>4.0392900000000003</c:v>
                </c:pt>
                <c:pt idx="81">
                  <c:v>4.0892900000000001</c:v>
                </c:pt>
                <c:pt idx="82">
                  <c:v>4.1392899999999999</c:v>
                </c:pt>
                <c:pt idx="83">
                  <c:v>4.1892899999999997</c:v>
                </c:pt>
                <c:pt idx="84">
                  <c:v>4.2392899999999996</c:v>
                </c:pt>
                <c:pt idx="85">
                  <c:v>4.2892900000000003</c:v>
                </c:pt>
                <c:pt idx="86">
                  <c:v>4.3392900000000001</c:v>
                </c:pt>
                <c:pt idx="87">
                  <c:v>4.3892899999999999</c:v>
                </c:pt>
                <c:pt idx="88">
                  <c:v>4.4392899999999997</c:v>
                </c:pt>
                <c:pt idx="89">
                  <c:v>4.4892899999999996</c:v>
                </c:pt>
                <c:pt idx="90">
                  <c:v>4.5392900000000003</c:v>
                </c:pt>
                <c:pt idx="91">
                  <c:v>4.5892900000000001</c:v>
                </c:pt>
                <c:pt idx="92">
                  <c:v>4.6392899999999999</c:v>
                </c:pt>
                <c:pt idx="93">
                  <c:v>4.6892899999999997</c:v>
                </c:pt>
                <c:pt idx="94">
                  <c:v>4.7392899999999996</c:v>
                </c:pt>
                <c:pt idx="95">
                  <c:v>4.7892900000000003</c:v>
                </c:pt>
                <c:pt idx="96">
                  <c:v>4.8392900000000001</c:v>
                </c:pt>
                <c:pt idx="97">
                  <c:v>4.8892899999999999</c:v>
                </c:pt>
                <c:pt idx="98">
                  <c:v>4.9392899999999997</c:v>
                </c:pt>
                <c:pt idx="99">
                  <c:v>4.9892899999999996</c:v>
                </c:pt>
                <c:pt idx="100">
                  <c:v>4.8892899999999999</c:v>
                </c:pt>
                <c:pt idx="101">
                  <c:v>4.7892900000000003</c:v>
                </c:pt>
                <c:pt idx="102">
                  <c:v>4.6892899999999997</c:v>
                </c:pt>
                <c:pt idx="103">
                  <c:v>4.5892900000000001</c:v>
                </c:pt>
                <c:pt idx="104">
                  <c:v>4.4892899999999996</c:v>
                </c:pt>
                <c:pt idx="105">
                  <c:v>4.3892899999999999</c:v>
                </c:pt>
                <c:pt idx="106">
                  <c:v>4.2892900000000003</c:v>
                </c:pt>
                <c:pt idx="107">
                  <c:v>4.1892899999999997</c:v>
                </c:pt>
                <c:pt idx="108">
                  <c:v>4.0892900000000001</c:v>
                </c:pt>
                <c:pt idx="109">
                  <c:v>3.98929</c:v>
                </c:pt>
                <c:pt idx="110">
                  <c:v>3.8892899999999999</c:v>
                </c:pt>
                <c:pt idx="111">
                  <c:v>3.7892899999999998</c:v>
                </c:pt>
                <c:pt idx="112">
                  <c:v>3.6892900000000002</c:v>
                </c:pt>
                <c:pt idx="113">
                  <c:v>3.5892900000000001</c:v>
                </c:pt>
                <c:pt idx="114">
                  <c:v>3.48929</c:v>
                </c:pt>
                <c:pt idx="115">
                  <c:v>3.3892899999999999</c:v>
                </c:pt>
                <c:pt idx="116">
                  <c:v>3.2892899999999998</c:v>
                </c:pt>
                <c:pt idx="117">
                  <c:v>3.1892900000000002</c:v>
                </c:pt>
                <c:pt idx="118">
                  <c:v>3.0892900000000001</c:v>
                </c:pt>
                <c:pt idx="119">
                  <c:v>2.98929</c:v>
                </c:pt>
                <c:pt idx="120">
                  <c:v>2.8892899999999999</c:v>
                </c:pt>
                <c:pt idx="121">
                  <c:v>2.7892899999999998</c:v>
                </c:pt>
                <c:pt idx="122">
                  <c:v>2.6892900000000002</c:v>
                </c:pt>
                <c:pt idx="123">
                  <c:v>2.5892900000000001</c:v>
                </c:pt>
                <c:pt idx="124">
                  <c:v>2.48929</c:v>
                </c:pt>
                <c:pt idx="125">
                  <c:v>2.3892899999999999</c:v>
                </c:pt>
                <c:pt idx="126">
                  <c:v>2.2892899999999998</c:v>
                </c:pt>
                <c:pt idx="127">
                  <c:v>2.1892900000000002</c:v>
                </c:pt>
                <c:pt idx="128">
                  <c:v>2.0892900000000001</c:v>
                </c:pt>
                <c:pt idx="129">
                  <c:v>1.98929</c:v>
                </c:pt>
                <c:pt idx="130">
                  <c:v>1.8892899999999999</c:v>
                </c:pt>
                <c:pt idx="131">
                  <c:v>1.78929</c:v>
                </c:pt>
                <c:pt idx="132">
                  <c:v>1.68929</c:v>
                </c:pt>
                <c:pt idx="133">
                  <c:v>1.5892900000000001</c:v>
                </c:pt>
                <c:pt idx="134">
                  <c:v>1.48929</c:v>
                </c:pt>
                <c:pt idx="135">
                  <c:v>1.3892899999999999</c:v>
                </c:pt>
                <c:pt idx="136">
                  <c:v>1.28929</c:v>
                </c:pt>
                <c:pt idx="137">
                  <c:v>1.18929</c:v>
                </c:pt>
                <c:pt idx="138">
                  <c:v>1.0892900000000001</c:v>
                </c:pt>
                <c:pt idx="139">
                  <c:v>0.98929199999999995</c:v>
                </c:pt>
                <c:pt idx="140">
                  <c:v>0.88929199999999997</c:v>
                </c:pt>
                <c:pt idx="141">
                  <c:v>0.78929199999999999</c:v>
                </c:pt>
                <c:pt idx="142">
                  <c:v>0.68929200000000002</c:v>
                </c:pt>
                <c:pt idx="143">
                  <c:v>0.58929200000000004</c:v>
                </c:pt>
                <c:pt idx="144">
                  <c:v>0.489292</c:v>
                </c:pt>
                <c:pt idx="145">
                  <c:v>0.38929200000000003</c:v>
                </c:pt>
                <c:pt idx="146">
                  <c:v>0.28929199999999999</c:v>
                </c:pt>
                <c:pt idx="147">
                  <c:v>0.18929199999999999</c:v>
                </c:pt>
                <c:pt idx="148">
                  <c:v>8.9292399999999994E-2</c:v>
                </c:pt>
                <c:pt idx="149">
                  <c:v>-1.0707599999999999E-2</c:v>
                </c:pt>
                <c:pt idx="150">
                  <c:v>-0.110708</c:v>
                </c:pt>
                <c:pt idx="151">
                  <c:v>-0.21070800000000001</c:v>
                </c:pt>
                <c:pt idx="152">
                  <c:v>-0.31070799999999998</c:v>
                </c:pt>
                <c:pt idx="153">
                  <c:v>-0.41070800000000002</c:v>
                </c:pt>
                <c:pt idx="154">
                  <c:v>-0.51070800000000005</c:v>
                </c:pt>
                <c:pt idx="155">
                  <c:v>-0.61070800000000003</c:v>
                </c:pt>
                <c:pt idx="156">
                  <c:v>-0.71070800000000001</c:v>
                </c:pt>
                <c:pt idx="157">
                  <c:v>-0.81070799999999998</c:v>
                </c:pt>
                <c:pt idx="158">
                  <c:v>-0.91070799999999996</c:v>
                </c:pt>
                <c:pt idx="159">
                  <c:v>-1.01071</c:v>
                </c:pt>
                <c:pt idx="160">
                  <c:v>-1.1107100000000001</c:v>
                </c:pt>
                <c:pt idx="161">
                  <c:v>-1.21071</c:v>
                </c:pt>
                <c:pt idx="162">
                  <c:v>-1.31071</c:v>
                </c:pt>
                <c:pt idx="163">
                  <c:v>-1.4107099999999999</c:v>
                </c:pt>
                <c:pt idx="164">
                  <c:v>-1.51071</c:v>
                </c:pt>
                <c:pt idx="165">
                  <c:v>-1.6107100000000001</c:v>
                </c:pt>
                <c:pt idx="166">
                  <c:v>-1.71071</c:v>
                </c:pt>
                <c:pt idx="167">
                  <c:v>-1.81071</c:v>
                </c:pt>
                <c:pt idx="168">
                  <c:v>-1.9107099999999999</c:v>
                </c:pt>
                <c:pt idx="169">
                  <c:v>-2.01071</c:v>
                </c:pt>
                <c:pt idx="170">
                  <c:v>-2.1107100000000001</c:v>
                </c:pt>
                <c:pt idx="171">
                  <c:v>-2.2107100000000002</c:v>
                </c:pt>
                <c:pt idx="172">
                  <c:v>-2.3107099999999998</c:v>
                </c:pt>
                <c:pt idx="173">
                  <c:v>-2.4107099999999999</c:v>
                </c:pt>
                <c:pt idx="174">
                  <c:v>-2.51071</c:v>
                </c:pt>
                <c:pt idx="175">
                  <c:v>-2.6107100000000001</c:v>
                </c:pt>
                <c:pt idx="176">
                  <c:v>-2.7107100000000002</c:v>
                </c:pt>
                <c:pt idx="177">
                  <c:v>-2.8107099999999998</c:v>
                </c:pt>
                <c:pt idx="178">
                  <c:v>-2.9107099999999999</c:v>
                </c:pt>
                <c:pt idx="179">
                  <c:v>-3.01071</c:v>
                </c:pt>
                <c:pt idx="180">
                  <c:v>-3.1107100000000001</c:v>
                </c:pt>
                <c:pt idx="181">
                  <c:v>-3.2107100000000002</c:v>
                </c:pt>
                <c:pt idx="182">
                  <c:v>-3.3107099999999998</c:v>
                </c:pt>
                <c:pt idx="183">
                  <c:v>-3.4107099999999999</c:v>
                </c:pt>
                <c:pt idx="184">
                  <c:v>-3.51071</c:v>
                </c:pt>
                <c:pt idx="185">
                  <c:v>-3.6107100000000001</c:v>
                </c:pt>
                <c:pt idx="186">
                  <c:v>-3.7107100000000002</c:v>
                </c:pt>
                <c:pt idx="187">
                  <c:v>-3.8107099999999998</c:v>
                </c:pt>
                <c:pt idx="188">
                  <c:v>-3.9107099999999999</c:v>
                </c:pt>
                <c:pt idx="189">
                  <c:v>-4.0107100000000004</c:v>
                </c:pt>
                <c:pt idx="190">
                  <c:v>-4.1107100000000001</c:v>
                </c:pt>
                <c:pt idx="191">
                  <c:v>-4.2107099999999997</c:v>
                </c:pt>
                <c:pt idx="192">
                  <c:v>-4.3107100000000003</c:v>
                </c:pt>
                <c:pt idx="193">
                  <c:v>-4.4107099999999999</c:v>
                </c:pt>
                <c:pt idx="194">
                  <c:v>-4.5107100000000004</c:v>
                </c:pt>
                <c:pt idx="195">
                  <c:v>-4.6107100000000001</c:v>
                </c:pt>
                <c:pt idx="196">
                  <c:v>-4.7107099999999997</c:v>
                </c:pt>
                <c:pt idx="197">
                  <c:v>-4.8107100000000003</c:v>
                </c:pt>
                <c:pt idx="198">
                  <c:v>-4.9107099999999999</c:v>
                </c:pt>
                <c:pt idx="199">
                  <c:v>-5.0107100000000004</c:v>
                </c:pt>
                <c:pt idx="200">
                  <c:v>-4.8607100000000001</c:v>
                </c:pt>
                <c:pt idx="201">
                  <c:v>-4.7107099999999997</c:v>
                </c:pt>
                <c:pt idx="202">
                  <c:v>-4.5607100000000003</c:v>
                </c:pt>
                <c:pt idx="203">
                  <c:v>-4.4107099999999999</c:v>
                </c:pt>
                <c:pt idx="204">
                  <c:v>-4.2607100000000004</c:v>
                </c:pt>
                <c:pt idx="205">
                  <c:v>-4.1107100000000001</c:v>
                </c:pt>
                <c:pt idx="206">
                  <c:v>-3.9607100000000002</c:v>
                </c:pt>
                <c:pt idx="207">
                  <c:v>-3.8107099999999998</c:v>
                </c:pt>
                <c:pt idx="208">
                  <c:v>-3.6607099999999999</c:v>
                </c:pt>
                <c:pt idx="209">
                  <c:v>-3.51071</c:v>
                </c:pt>
                <c:pt idx="210">
                  <c:v>-3.3607100000000001</c:v>
                </c:pt>
                <c:pt idx="211">
                  <c:v>-3.2107100000000002</c:v>
                </c:pt>
                <c:pt idx="212">
                  <c:v>-3.0607099999999998</c:v>
                </c:pt>
                <c:pt idx="213">
                  <c:v>-2.9107099999999999</c:v>
                </c:pt>
                <c:pt idx="214">
                  <c:v>-2.76071</c:v>
                </c:pt>
                <c:pt idx="215">
                  <c:v>-2.6107100000000001</c:v>
                </c:pt>
                <c:pt idx="216">
                  <c:v>-2.4607100000000002</c:v>
                </c:pt>
                <c:pt idx="217">
                  <c:v>-2.3107099999999998</c:v>
                </c:pt>
                <c:pt idx="218">
                  <c:v>-2.1607099999999999</c:v>
                </c:pt>
                <c:pt idx="219">
                  <c:v>-2.01071</c:v>
                </c:pt>
                <c:pt idx="220">
                  <c:v>-1.8607100000000001</c:v>
                </c:pt>
                <c:pt idx="221">
                  <c:v>-1.71071</c:v>
                </c:pt>
                <c:pt idx="222">
                  <c:v>-1.56071</c:v>
                </c:pt>
                <c:pt idx="223">
                  <c:v>-1.4107099999999999</c:v>
                </c:pt>
                <c:pt idx="224">
                  <c:v>-1.26071</c:v>
                </c:pt>
                <c:pt idx="225">
                  <c:v>-1.1107100000000001</c:v>
                </c:pt>
                <c:pt idx="226">
                  <c:v>-0.96070800000000001</c:v>
                </c:pt>
                <c:pt idx="227">
                  <c:v>-0.81070799999999998</c:v>
                </c:pt>
                <c:pt idx="228">
                  <c:v>-0.66070799999999996</c:v>
                </c:pt>
                <c:pt idx="229">
                  <c:v>-0.51070800000000005</c:v>
                </c:pt>
                <c:pt idx="230">
                  <c:v>-0.36070799999999997</c:v>
                </c:pt>
                <c:pt idx="231">
                  <c:v>-0.21070800000000001</c:v>
                </c:pt>
                <c:pt idx="232">
                  <c:v>-6.07076E-2</c:v>
                </c:pt>
                <c:pt idx="233">
                  <c:v>8.9292399999999994E-2</c:v>
                </c:pt>
                <c:pt idx="234">
                  <c:v>0.239292</c:v>
                </c:pt>
                <c:pt idx="235">
                  <c:v>0.38929200000000003</c:v>
                </c:pt>
                <c:pt idx="236">
                  <c:v>0.53929199999999999</c:v>
                </c:pt>
                <c:pt idx="237">
                  <c:v>0.68929200000000002</c:v>
                </c:pt>
                <c:pt idx="238">
                  <c:v>0.83929200000000004</c:v>
                </c:pt>
                <c:pt idx="239">
                  <c:v>0.98929199999999995</c:v>
                </c:pt>
                <c:pt idx="240">
                  <c:v>1.1392899999999999</c:v>
                </c:pt>
                <c:pt idx="241">
                  <c:v>1.28929</c:v>
                </c:pt>
                <c:pt idx="242">
                  <c:v>1.43929</c:v>
                </c:pt>
                <c:pt idx="243">
                  <c:v>1.5892900000000001</c:v>
                </c:pt>
                <c:pt idx="244">
                  <c:v>1.73929</c:v>
                </c:pt>
                <c:pt idx="245">
                  <c:v>1.8892899999999999</c:v>
                </c:pt>
                <c:pt idx="246">
                  <c:v>2.0392899999999998</c:v>
                </c:pt>
                <c:pt idx="247">
                  <c:v>2.1892900000000002</c:v>
                </c:pt>
                <c:pt idx="248">
                  <c:v>2.3392900000000001</c:v>
                </c:pt>
                <c:pt idx="249">
                  <c:v>2.48929</c:v>
                </c:pt>
                <c:pt idx="250">
                  <c:v>2.6392899999999999</c:v>
                </c:pt>
                <c:pt idx="251">
                  <c:v>2.7892899999999998</c:v>
                </c:pt>
                <c:pt idx="252">
                  <c:v>2.9392900000000002</c:v>
                </c:pt>
                <c:pt idx="253">
                  <c:v>3.0892900000000001</c:v>
                </c:pt>
                <c:pt idx="254">
                  <c:v>3.23929</c:v>
                </c:pt>
                <c:pt idx="255">
                  <c:v>3.3892899999999999</c:v>
                </c:pt>
                <c:pt idx="256">
                  <c:v>3.5392899999999998</c:v>
                </c:pt>
                <c:pt idx="257">
                  <c:v>3.6892900000000002</c:v>
                </c:pt>
                <c:pt idx="258">
                  <c:v>3.8392900000000001</c:v>
                </c:pt>
                <c:pt idx="259">
                  <c:v>3.98929</c:v>
                </c:pt>
                <c:pt idx="260">
                  <c:v>4.1392899999999999</c:v>
                </c:pt>
                <c:pt idx="261">
                  <c:v>4.2892900000000003</c:v>
                </c:pt>
                <c:pt idx="262">
                  <c:v>4.4392899999999997</c:v>
                </c:pt>
                <c:pt idx="263">
                  <c:v>4.5892900000000001</c:v>
                </c:pt>
                <c:pt idx="264">
                  <c:v>4.7392899999999996</c:v>
                </c:pt>
                <c:pt idx="265">
                  <c:v>4.8892899999999999</c:v>
                </c:pt>
                <c:pt idx="266">
                  <c:v>5.0392900000000003</c:v>
                </c:pt>
                <c:pt idx="267">
                  <c:v>5.1892899999999997</c:v>
                </c:pt>
                <c:pt idx="268">
                  <c:v>5.3392900000000001</c:v>
                </c:pt>
                <c:pt idx="269">
                  <c:v>5.4892899999999996</c:v>
                </c:pt>
                <c:pt idx="270">
                  <c:v>5.6392899999999999</c:v>
                </c:pt>
                <c:pt idx="271">
                  <c:v>5.7892900000000003</c:v>
                </c:pt>
                <c:pt idx="272">
                  <c:v>5.9392899999999997</c:v>
                </c:pt>
                <c:pt idx="273">
                  <c:v>6.0892900000000001</c:v>
                </c:pt>
                <c:pt idx="274">
                  <c:v>6.2392899999999996</c:v>
                </c:pt>
                <c:pt idx="275">
                  <c:v>6.3892899999999999</c:v>
                </c:pt>
                <c:pt idx="276">
                  <c:v>6.5392900000000003</c:v>
                </c:pt>
                <c:pt idx="277">
                  <c:v>6.6892899999999997</c:v>
                </c:pt>
                <c:pt idx="278">
                  <c:v>6.8392900000000001</c:v>
                </c:pt>
                <c:pt idx="279">
                  <c:v>6.9892899999999996</c:v>
                </c:pt>
                <c:pt idx="280">
                  <c:v>7.1392899999999999</c:v>
                </c:pt>
                <c:pt idx="281">
                  <c:v>7.2892900000000003</c:v>
                </c:pt>
                <c:pt idx="282">
                  <c:v>7.4392899999999997</c:v>
                </c:pt>
                <c:pt idx="283">
                  <c:v>7.5892900000000001</c:v>
                </c:pt>
                <c:pt idx="284">
                  <c:v>7.7392899999999996</c:v>
                </c:pt>
                <c:pt idx="285">
                  <c:v>7.8892899999999999</c:v>
                </c:pt>
                <c:pt idx="286">
                  <c:v>8.0392899999999994</c:v>
                </c:pt>
                <c:pt idx="287">
                  <c:v>8.1892899999999997</c:v>
                </c:pt>
                <c:pt idx="288">
                  <c:v>8.3392900000000001</c:v>
                </c:pt>
                <c:pt idx="289">
                  <c:v>8.4892900000000004</c:v>
                </c:pt>
                <c:pt idx="290">
                  <c:v>8.6392900000000008</c:v>
                </c:pt>
                <c:pt idx="291">
                  <c:v>8.7892899999999994</c:v>
                </c:pt>
                <c:pt idx="292">
                  <c:v>8.9392899999999997</c:v>
                </c:pt>
                <c:pt idx="293">
                  <c:v>9.0892900000000001</c:v>
                </c:pt>
                <c:pt idx="294">
                  <c:v>9.2392900000000004</c:v>
                </c:pt>
                <c:pt idx="295">
                  <c:v>9.3892900000000008</c:v>
                </c:pt>
                <c:pt idx="296">
                  <c:v>9.5392899999999994</c:v>
                </c:pt>
                <c:pt idx="297">
                  <c:v>9.6892899999999997</c:v>
                </c:pt>
                <c:pt idx="298">
                  <c:v>9.8392900000000001</c:v>
                </c:pt>
                <c:pt idx="299">
                  <c:v>9.9892900000000004</c:v>
                </c:pt>
                <c:pt idx="300">
                  <c:v>9.7892899999999994</c:v>
                </c:pt>
                <c:pt idx="301">
                  <c:v>9.5892900000000001</c:v>
                </c:pt>
                <c:pt idx="302">
                  <c:v>9.3892900000000008</c:v>
                </c:pt>
                <c:pt idx="303">
                  <c:v>9.1892899999999997</c:v>
                </c:pt>
                <c:pt idx="304">
                  <c:v>8.9892900000000004</c:v>
                </c:pt>
                <c:pt idx="305">
                  <c:v>8.7892899999999994</c:v>
                </c:pt>
                <c:pt idx="306">
                  <c:v>8.5892900000000001</c:v>
                </c:pt>
                <c:pt idx="307">
                  <c:v>8.3892900000000008</c:v>
                </c:pt>
                <c:pt idx="308">
                  <c:v>8.1892899999999997</c:v>
                </c:pt>
                <c:pt idx="309">
                  <c:v>7.9892899999999996</c:v>
                </c:pt>
                <c:pt idx="310">
                  <c:v>7.7892900000000003</c:v>
                </c:pt>
                <c:pt idx="311">
                  <c:v>7.5892900000000001</c:v>
                </c:pt>
                <c:pt idx="312">
                  <c:v>7.3892899999999999</c:v>
                </c:pt>
                <c:pt idx="313">
                  <c:v>7.1892899999999997</c:v>
                </c:pt>
                <c:pt idx="314">
                  <c:v>6.9892899999999996</c:v>
                </c:pt>
                <c:pt idx="315">
                  <c:v>6.7892900000000003</c:v>
                </c:pt>
                <c:pt idx="316">
                  <c:v>6.5892900000000001</c:v>
                </c:pt>
                <c:pt idx="317">
                  <c:v>6.3892899999999999</c:v>
                </c:pt>
                <c:pt idx="318">
                  <c:v>6.1892899999999997</c:v>
                </c:pt>
                <c:pt idx="319">
                  <c:v>5.9892899999999996</c:v>
                </c:pt>
                <c:pt idx="320">
                  <c:v>5.7892900000000003</c:v>
                </c:pt>
                <c:pt idx="321">
                  <c:v>5.5892900000000001</c:v>
                </c:pt>
                <c:pt idx="322">
                  <c:v>5.3892899999999999</c:v>
                </c:pt>
                <c:pt idx="323">
                  <c:v>5.1892899999999997</c:v>
                </c:pt>
                <c:pt idx="324">
                  <c:v>4.9892899999999996</c:v>
                </c:pt>
                <c:pt idx="325">
                  <c:v>4.7892900000000003</c:v>
                </c:pt>
                <c:pt idx="326">
                  <c:v>4.5892900000000001</c:v>
                </c:pt>
                <c:pt idx="327">
                  <c:v>4.3892899999999999</c:v>
                </c:pt>
                <c:pt idx="328">
                  <c:v>4.1892899999999997</c:v>
                </c:pt>
                <c:pt idx="329">
                  <c:v>3.98929</c:v>
                </c:pt>
                <c:pt idx="330">
                  <c:v>3.7892899999999998</c:v>
                </c:pt>
                <c:pt idx="331">
                  <c:v>3.5892900000000001</c:v>
                </c:pt>
                <c:pt idx="332">
                  <c:v>3.3892899999999999</c:v>
                </c:pt>
                <c:pt idx="333">
                  <c:v>3.1892900000000002</c:v>
                </c:pt>
                <c:pt idx="334">
                  <c:v>2.98929</c:v>
                </c:pt>
                <c:pt idx="335">
                  <c:v>2.7892899999999998</c:v>
                </c:pt>
                <c:pt idx="336">
                  <c:v>2.5892900000000001</c:v>
                </c:pt>
                <c:pt idx="337">
                  <c:v>2.3892899999999999</c:v>
                </c:pt>
                <c:pt idx="338">
                  <c:v>2.1892900000000002</c:v>
                </c:pt>
                <c:pt idx="339">
                  <c:v>1.98929</c:v>
                </c:pt>
                <c:pt idx="340">
                  <c:v>1.78929</c:v>
                </c:pt>
                <c:pt idx="341">
                  <c:v>1.5892900000000001</c:v>
                </c:pt>
                <c:pt idx="342">
                  <c:v>1.3892899999999999</c:v>
                </c:pt>
                <c:pt idx="343">
                  <c:v>1.18929</c:v>
                </c:pt>
                <c:pt idx="344">
                  <c:v>0.98929199999999995</c:v>
                </c:pt>
                <c:pt idx="345">
                  <c:v>0.78929199999999999</c:v>
                </c:pt>
                <c:pt idx="346">
                  <c:v>0.58929200000000004</c:v>
                </c:pt>
                <c:pt idx="347">
                  <c:v>0.38929200000000003</c:v>
                </c:pt>
                <c:pt idx="348">
                  <c:v>0.18929199999999999</c:v>
                </c:pt>
                <c:pt idx="349">
                  <c:v>-1.0707599999999999E-2</c:v>
                </c:pt>
                <c:pt idx="350">
                  <c:v>-0.21070800000000001</c:v>
                </c:pt>
                <c:pt idx="351">
                  <c:v>-0.41070800000000002</c:v>
                </c:pt>
                <c:pt idx="352">
                  <c:v>-0.61070800000000003</c:v>
                </c:pt>
                <c:pt idx="353">
                  <c:v>-0.81070799999999998</c:v>
                </c:pt>
                <c:pt idx="354">
                  <c:v>-1.01071</c:v>
                </c:pt>
                <c:pt idx="355">
                  <c:v>-1.21071</c:v>
                </c:pt>
                <c:pt idx="356">
                  <c:v>-1.4107099999999999</c:v>
                </c:pt>
                <c:pt idx="357">
                  <c:v>-1.6107100000000001</c:v>
                </c:pt>
                <c:pt idx="358">
                  <c:v>-1.81071</c:v>
                </c:pt>
                <c:pt idx="359">
                  <c:v>-2.01071</c:v>
                </c:pt>
                <c:pt idx="360">
                  <c:v>-2.2107100000000002</c:v>
                </c:pt>
                <c:pt idx="361">
                  <c:v>-2.4107099999999999</c:v>
                </c:pt>
                <c:pt idx="362">
                  <c:v>-2.6107100000000001</c:v>
                </c:pt>
                <c:pt idx="363">
                  <c:v>-2.8107099999999998</c:v>
                </c:pt>
                <c:pt idx="364">
                  <c:v>-3.01071</c:v>
                </c:pt>
                <c:pt idx="365">
                  <c:v>-3.2107100000000002</c:v>
                </c:pt>
                <c:pt idx="366">
                  <c:v>-3.4107099999999999</c:v>
                </c:pt>
                <c:pt idx="367">
                  <c:v>-3.6107100000000001</c:v>
                </c:pt>
                <c:pt idx="368">
                  <c:v>-3.8107099999999998</c:v>
                </c:pt>
                <c:pt idx="369">
                  <c:v>-4.0107100000000004</c:v>
                </c:pt>
                <c:pt idx="370">
                  <c:v>-4.2107099999999997</c:v>
                </c:pt>
                <c:pt idx="371">
                  <c:v>-4.4107099999999999</c:v>
                </c:pt>
                <c:pt idx="372">
                  <c:v>-4.6107100000000001</c:v>
                </c:pt>
                <c:pt idx="373">
                  <c:v>-4.8107100000000003</c:v>
                </c:pt>
                <c:pt idx="374">
                  <c:v>-5.0107100000000004</c:v>
                </c:pt>
                <c:pt idx="375">
                  <c:v>-5.2107099999999997</c:v>
                </c:pt>
                <c:pt idx="376">
                  <c:v>-5.4107099999999999</c:v>
                </c:pt>
                <c:pt idx="377">
                  <c:v>-5.6107100000000001</c:v>
                </c:pt>
                <c:pt idx="378">
                  <c:v>-5.8107100000000003</c:v>
                </c:pt>
                <c:pt idx="379">
                  <c:v>-6.0107100000000004</c:v>
                </c:pt>
                <c:pt idx="380">
                  <c:v>-6.2107099999999997</c:v>
                </c:pt>
                <c:pt idx="381">
                  <c:v>-6.4107099999999999</c:v>
                </c:pt>
                <c:pt idx="382">
                  <c:v>-6.6107100000000001</c:v>
                </c:pt>
                <c:pt idx="383">
                  <c:v>-6.8107100000000003</c:v>
                </c:pt>
                <c:pt idx="384">
                  <c:v>-7.0107100000000004</c:v>
                </c:pt>
                <c:pt idx="385">
                  <c:v>-7.2107099999999997</c:v>
                </c:pt>
                <c:pt idx="386">
                  <c:v>-7.4107099999999999</c:v>
                </c:pt>
                <c:pt idx="387">
                  <c:v>-7.6107100000000001</c:v>
                </c:pt>
                <c:pt idx="388">
                  <c:v>-7.8107100000000003</c:v>
                </c:pt>
                <c:pt idx="389">
                  <c:v>-8.0107099999999996</c:v>
                </c:pt>
                <c:pt idx="390">
                  <c:v>-8.2107100000000006</c:v>
                </c:pt>
                <c:pt idx="391">
                  <c:v>-8.4107099999999999</c:v>
                </c:pt>
                <c:pt idx="392">
                  <c:v>-8.6107099999999992</c:v>
                </c:pt>
                <c:pt idx="393">
                  <c:v>-8.8107100000000003</c:v>
                </c:pt>
                <c:pt idx="394">
                  <c:v>-9.0107099999999996</c:v>
                </c:pt>
                <c:pt idx="395">
                  <c:v>-9.2107100000000006</c:v>
                </c:pt>
                <c:pt idx="396">
                  <c:v>-9.4107099999999999</c:v>
                </c:pt>
                <c:pt idx="397">
                  <c:v>-9.6107099999999992</c:v>
                </c:pt>
                <c:pt idx="398">
                  <c:v>-9.8107100000000003</c:v>
                </c:pt>
                <c:pt idx="399">
                  <c:v>-10.0107</c:v>
                </c:pt>
                <c:pt idx="400">
                  <c:v>-9.7607099999999996</c:v>
                </c:pt>
                <c:pt idx="401">
                  <c:v>-9.5107099999999996</c:v>
                </c:pt>
                <c:pt idx="402">
                  <c:v>-9.2607099999999996</c:v>
                </c:pt>
                <c:pt idx="403">
                  <c:v>-9.0107099999999996</c:v>
                </c:pt>
                <c:pt idx="404">
                  <c:v>-8.7607099999999996</c:v>
                </c:pt>
                <c:pt idx="405">
                  <c:v>-8.5107099999999996</c:v>
                </c:pt>
                <c:pt idx="406">
                  <c:v>-8.2607099999999996</c:v>
                </c:pt>
                <c:pt idx="407">
                  <c:v>-8.0107099999999996</c:v>
                </c:pt>
                <c:pt idx="408">
                  <c:v>-7.7607100000000004</c:v>
                </c:pt>
                <c:pt idx="409">
                  <c:v>-7.5107100000000004</c:v>
                </c:pt>
                <c:pt idx="410">
                  <c:v>-7.2607100000000004</c:v>
                </c:pt>
                <c:pt idx="411">
                  <c:v>-7.0107100000000004</c:v>
                </c:pt>
                <c:pt idx="412">
                  <c:v>-6.7607100000000004</c:v>
                </c:pt>
                <c:pt idx="413">
                  <c:v>-6.5107100000000004</c:v>
                </c:pt>
                <c:pt idx="414">
                  <c:v>-6.2607100000000004</c:v>
                </c:pt>
                <c:pt idx="415">
                  <c:v>-6.0107100000000004</c:v>
                </c:pt>
                <c:pt idx="416">
                  <c:v>-5.7607100000000004</c:v>
                </c:pt>
                <c:pt idx="417">
                  <c:v>-5.5107100000000004</c:v>
                </c:pt>
                <c:pt idx="418">
                  <c:v>-5.2607100000000004</c:v>
                </c:pt>
                <c:pt idx="419">
                  <c:v>-5.0107100000000004</c:v>
                </c:pt>
                <c:pt idx="420">
                  <c:v>-4.7607100000000004</c:v>
                </c:pt>
                <c:pt idx="421">
                  <c:v>-4.5107100000000004</c:v>
                </c:pt>
                <c:pt idx="422">
                  <c:v>-4.2607100000000004</c:v>
                </c:pt>
                <c:pt idx="423">
                  <c:v>-4.0107100000000004</c:v>
                </c:pt>
                <c:pt idx="424">
                  <c:v>-3.76071</c:v>
                </c:pt>
                <c:pt idx="425">
                  <c:v>-3.51071</c:v>
                </c:pt>
                <c:pt idx="426">
                  <c:v>-3.26071</c:v>
                </c:pt>
                <c:pt idx="427">
                  <c:v>-3.01071</c:v>
                </c:pt>
                <c:pt idx="428">
                  <c:v>-2.76071</c:v>
                </c:pt>
                <c:pt idx="429">
                  <c:v>-2.51071</c:v>
                </c:pt>
                <c:pt idx="430">
                  <c:v>-2.26071</c:v>
                </c:pt>
                <c:pt idx="431">
                  <c:v>-2.01071</c:v>
                </c:pt>
                <c:pt idx="432">
                  <c:v>-1.76071</c:v>
                </c:pt>
                <c:pt idx="433">
                  <c:v>-1.51071</c:v>
                </c:pt>
                <c:pt idx="434">
                  <c:v>-1.26071</c:v>
                </c:pt>
                <c:pt idx="435">
                  <c:v>-1.01071</c:v>
                </c:pt>
                <c:pt idx="436">
                  <c:v>-0.76070800000000005</c:v>
                </c:pt>
                <c:pt idx="437">
                  <c:v>-0.51070800000000005</c:v>
                </c:pt>
                <c:pt idx="438">
                  <c:v>-0.260708</c:v>
                </c:pt>
                <c:pt idx="439">
                  <c:v>-1.0707599999999999E-2</c:v>
                </c:pt>
                <c:pt idx="440">
                  <c:v>0.239292</c:v>
                </c:pt>
                <c:pt idx="441">
                  <c:v>0.489292</c:v>
                </c:pt>
                <c:pt idx="442">
                  <c:v>0.73929199999999995</c:v>
                </c:pt>
                <c:pt idx="443">
                  <c:v>0.98929199999999995</c:v>
                </c:pt>
                <c:pt idx="444">
                  <c:v>1.23929</c:v>
                </c:pt>
                <c:pt idx="445">
                  <c:v>1.48929</c:v>
                </c:pt>
                <c:pt idx="446">
                  <c:v>1.73929</c:v>
                </c:pt>
                <c:pt idx="447">
                  <c:v>1.98929</c:v>
                </c:pt>
                <c:pt idx="448">
                  <c:v>2.23929</c:v>
                </c:pt>
                <c:pt idx="449">
                  <c:v>2.48929</c:v>
                </c:pt>
                <c:pt idx="450">
                  <c:v>2.73929</c:v>
                </c:pt>
                <c:pt idx="451">
                  <c:v>2.98929</c:v>
                </c:pt>
                <c:pt idx="452">
                  <c:v>3.23929</c:v>
                </c:pt>
                <c:pt idx="453">
                  <c:v>3.48929</c:v>
                </c:pt>
                <c:pt idx="454">
                  <c:v>3.73929</c:v>
                </c:pt>
                <c:pt idx="455">
                  <c:v>3.98929</c:v>
                </c:pt>
                <c:pt idx="456">
                  <c:v>4.2392899999999996</c:v>
                </c:pt>
                <c:pt idx="457">
                  <c:v>4.4892899999999996</c:v>
                </c:pt>
                <c:pt idx="458">
                  <c:v>4.7392899999999996</c:v>
                </c:pt>
                <c:pt idx="459">
                  <c:v>4.9892899999999996</c:v>
                </c:pt>
                <c:pt idx="460">
                  <c:v>5.2392899999999996</c:v>
                </c:pt>
                <c:pt idx="461">
                  <c:v>5.4892899999999996</c:v>
                </c:pt>
                <c:pt idx="462">
                  <c:v>5.7392899999999996</c:v>
                </c:pt>
                <c:pt idx="463">
                  <c:v>5.9892899999999996</c:v>
                </c:pt>
                <c:pt idx="464">
                  <c:v>6.2392899999999996</c:v>
                </c:pt>
                <c:pt idx="465">
                  <c:v>6.4892899999999996</c:v>
                </c:pt>
                <c:pt idx="466">
                  <c:v>6.7392899999999996</c:v>
                </c:pt>
                <c:pt idx="467">
                  <c:v>6.9892899999999996</c:v>
                </c:pt>
                <c:pt idx="468">
                  <c:v>7.2392899999999996</c:v>
                </c:pt>
                <c:pt idx="469">
                  <c:v>7.4892899999999996</c:v>
                </c:pt>
                <c:pt idx="470">
                  <c:v>7.7392899999999996</c:v>
                </c:pt>
                <c:pt idx="471">
                  <c:v>7.9892899999999996</c:v>
                </c:pt>
                <c:pt idx="472">
                  <c:v>8.2392900000000004</c:v>
                </c:pt>
                <c:pt idx="473">
                  <c:v>8.4892900000000004</c:v>
                </c:pt>
                <c:pt idx="474">
                  <c:v>8.7392900000000004</c:v>
                </c:pt>
                <c:pt idx="475">
                  <c:v>8.9892900000000004</c:v>
                </c:pt>
                <c:pt idx="476">
                  <c:v>9.2392900000000004</c:v>
                </c:pt>
                <c:pt idx="477">
                  <c:v>9.4892900000000004</c:v>
                </c:pt>
                <c:pt idx="478">
                  <c:v>9.7392900000000004</c:v>
                </c:pt>
                <c:pt idx="479">
                  <c:v>9.9892900000000004</c:v>
                </c:pt>
                <c:pt idx="480">
                  <c:v>10.2393</c:v>
                </c:pt>
                <c:pt idx="481">
                  <c:v>10.4893</c:v>
                </c:pt>
                <c:pt idx="482">
                  <c:v>10.7393</c:v>
                </c:pt>
                <c:pt idx="483">
                  <c:v>10.9893</c:v>
                </c:pt>
                <c:pt idx="484">
                  <c:v>11.2393</c:v>
                </c:pt>
                <c:pt idx="485">
                  <c:v>11.4893</c:v>
                </c:pt>
                <c:pt idx="486">
                  <c:v>11.7393</c:v>
                </c:pt>
                <c:pt idx="487">
                  <c:v>11.9893</c:v>
                </c:pt>
                <c:pt idx="488">
                  <c:v>12.2393</c:v>
                </c:pt>
                <c:pt idx="489">
                  <c:v>12.4893</c:v>
                </c:pt>
                <c:pt idx="490">
                  <c:v>12.7393</c:v>
                </c:pt>
                <c:pt idx="491">
                  <c:v>12.9893</c:v>
                </c:pt>
                <c:pt idx="492">
                  <c:v>13.2393</c:v>
                </c:pt>
                <c:pt idx="493">
                  <c:v>13.4893</c:v>
                </c:pt>
                <c:pt idx="494">
                  <c:v>13.7393</c:v>
                </c:pt>
                <c:pt idx="495">
                  <c:v>13.9893</c:v>
                </c:pt>
                <c:pt idx="496">
                  <c:v>14.2393</c:v>
                </c:pt>
                <c:pt idx="497">
                  <c:v>14.4893</c:v>
                </c:pt>
                <c:pt idx="498">
                  <c:v>14.7393</c:v>
                </c:pt>
                <c:pt idx="499">
                  <c:v>14.9893</c:v>
                </c:pt>
                <c:pt idx="500">
                  <c:v>14.689299999999999</c:v>
                </c:pt>
                <c:pt idx="501">
                  <c:v>14.3893</c:v>
                </c:pt>
                <c:pt idx="502">
                  <c:v>14.0893</c:v>
                </c:pt>
                <c:pt idx="503">
                  <c:v>13.789300000000001</c:v>
                </c:pt>
                <c:pt idx="504">
                  <c:v>13.4893</c:v>
                </c:pt>
                <c:pt idx="505">
                  <c:v>13.189299999999999</c:v>
                </c:pt>
                <c:pt idx="506">
                  <c:v>12.8893</c:v>
                </c:pt>
                <c:pt idx="507">
                  <c:v>12.5893</c:v>
                </c:pt>
                <c:pt idx="508">
                  <c:v>12.289300000000001</c:v>
                </c:pt>
                <c:pt idx="509">
                  <c:v>11.9893</c:v>
                </c:pt>
                <c:pt idx="510">
                  <c:v>11.689299999999999</c:v>
                </c:pt>
                <c:pt idx="511">
                  <c:v>11.3893</c:v>
                </c:pt>
                <c:pt idx="512">
                  <c:v>11.0893</c:v>
                </c:pt>
                <c:pt idx="513">
                  <c:v>10.789300000000001</c:v>
                </c:pt>
                <c:pt idx="514">
                  <c:v>10.4893</c:v>
                </c:pt>
                <c:pt idx="515">
                  <c:v>10.189299999999999</c:v>
                </c:pt>
                <c:pt idx="516">
                  <c:v>9.8892900000000008</c:v>
                </c:pt>
                <c:pt idx="517">
                  <c:v>9.5892900000000001</c:v>
                </c:pt>
                <c:pt idx="518">
                  <c:v>9.2892899999999994</c:v>
                </c:pt>
                <c:pt idx="519">
                  <c:v>8.9892900000000004</c:v>
                </c:pt>
                <c:pt idx="520">
                  <c:v>8.6892899999999997</c:v>
                </c:pt>
                <c:pt idx="521">
                  <c:v>8.3892900000000008</c:v>
                </c:pt>
                <c:pt idx="522">
                  <c:v>8.0892900000000001</c:v>
                </c:pt>
                <c:pt idx="523">
                  <c:v>7.7892900000000003</c:v>
                </c:pt>
                <c:pt idx="524">
                  <c:v>7.4892899999999996</c:v>
                </c:pt>
                <c:pt idx="525">
                  <c:v>7.1892899999999997</c:v>
                </c:pt>
                <c:pt idx="526">
                  <c:v>6.8892899999999999</c:v>
                </c:pt>
                <c:pt idx="527">
                  <c:v>6.5892900000000001</c:v>
                </c:pt>
                <c:pt idx="528">
                  <c:v>6.2892900000000003</c:v>
                </c:pt>
                <c:pt idx="529">
                  <c:v>5.9892899999999996</c:v>
                </c:pt>
                <c:pt idx="530">
                  <c:v>5.6892899999999997</c:v>
                </c:pt>
                <c:pt idx="531">
                  <c:v>5.3892899999999999</c:v>
                </c:pt>
                <c:pt idx="532">
                  <c:v>5.0892900000000001</c:v>
                </c:pt>
                <c:pt idx="533">
                  <c:v>4.7892900000000003</c:v>
                </c:pt>
                <c:pt idx="534">
                  <c:v>4.4892899999999996</c:v>
                </c:pt>
                <c:pt idx="535">
                  <c:v>4.1892899999999997</c:v>
                </c:pt>
                <c:pt idx="536">
                  <c:v>3.8892899999999999</c:v>
                </c:pt>
                <c:pt idx="537">
                  <c:v>3.5892900000000001</c:v>
                </c:pt>
                <c:pt idx="538">
                  <c:v>3.2892899999999998</c:v>
                </c:pt>
                <c:pt idx="539">
                  <c:v>2.98929</c:v>
                </c:pt>
                <c:pt idx="540">
                  <c:v>2.6892900000000002</c:v>
                </c:pt>
                <c:pt idx="541">
                  <c:v>2.3892899999999999</c:v>
                </c:pt>
                <c:pt idx="542">
                  <c:v>2.0892900000000001</c:v>
                </c:pt>
                <c:pt idx="543">
                  <c:v>1.78929</c:v>
                </c:pt>
                <c:pt idx="544">
                  <c:v>1.48929</c:v>
                </c:pt>
                <c:pt idx="545">
                  <c:v>1.18929</c:v>
                </c:pt>
                <c:pt idx="546">
                  <c:v>0.88929199999999997</c:v>
                </c:pt>
                <c:pt idx="547">
                  <c:v>0.58929200000000004</c:v>
                </c:pt>
                <c:pt idx="548">
                  <c:v>0.28929199999999999</c:v>
                </c:pt>
                <c:pt idx="549">
                  <c:v>-1.0707599999999999E-2</c:v>
                </c:pt>
                <c:pt idx="550">
                  <c:v>-0.31070799999999998</c:v>
                </c:pt>
                <c:pt idx="551">
                  <c:v>-0.61070800000000003</c:v>
                </c:pt>
                <c:pt idx="552">
                  <c:v>-0.91070799999999996</c:v>
                </c:pt>
                <c:pt idx="553">
                  <c:v>-1.21071</c:v>
                </c:pt>
                <c:pt idx="554">
                  <c:v>-1.51071</c:v>
                </c:pt>
                <c:pt idx="555">
                  <c:v>-1.81071</c:v>
                </c:pt>
                <c:pt idx="556">
                  <c:v>-2.1107100000000001</c:v>
                </c:pt>
                <c:pt idx="557">
                  <c:v>-2.4107099999999999</c:v>
                </c:pt>
                <c:pt idx="558">
                  <c:v>-2.7107100000000002</c:v>
                </c:pt>
                <c:pt idx="559">
                  <c:v>-3.01071</c:v>
                </c:pt>
                <c:pt idx="560">
                  <c:v>-3.3107099999999998</c:v>
                </c:pt>
                <c:pt idx="561">
                  <c:v>-3.6107100000000001</c:v>
                </c:pt>
                <c:pt idx="562">
                  <c:v>-3.9107099999999999</c:v>
                </c:pt>
                <c:pt idx="563">
                  <c:v>-4.2107099999999997</c:v>
                </c:pt>
                <c:pt idx="564">
                  <c:v>-4.5107100000000004</c:v>
                </c:pt>
                <c:pt idx="565">
                  <c:v>-4.8107100000000003</c:v>
                </c:pt>
                <c:pt idx="566">
                  <c:v>-5.1107100000000001</c:v>
                </c:pt>
                <c:pt idx="567">
                  <c:v>-5.4107099999999999</c:v>
                </c:pt>
                <c:pt idx="568">
                  <c:v>-5.7107099999999997</c:v>
                </c:pt>
                <c:pt idx="569">
                  <c:v>-6.0107100000000004</c:v>
                </c:pt>
                <c:pt idx="570">
                  <c:v>-6.3107100000000003</c:v>
                </c:pt>
                <c:pt idx="571">
                  <c:v>-6.6107100000000001</c:v>
                </c:pt>
                <c:pt idx="572">
                  <c:v>-6.9107099999999999</c:v>
                </c:pt>
                <c:pt idx="573">
                  <c:v>-7.2107099999999997</c:v>
                </c:pt>
                <c:pt idx="574">
                  <c:v>-7.5107100000000004</c:v>
                </c:pt>
                <c:pt idx="575">
                  <c:v>-7.8107100000000003</c:v>
                </c:pt>
                <c:pt idx="576">
                  <c:v>-8.1107099999999992</c:v>
                </c:pt>
                <c:pt idx="577">
                  <c:v>-8.4107099999999999</c:v>
                </c:pt>
                <c:pt idx="578">
                  <c:v>-8.7107100000000006</c:v>
                </c:pt>
                <c:pt idx="579">
                  <c:v>-9.0107099999999996</c:v>
                </c:pt>
                <c:pt idx="580">
                  <c:v>-9.3107100000000003</c:v>
                </c:pt>
                <c:pt idx="581">
                  <c:v>-9.6107099999999992</c:v>
                </c:pt>
                <c:pt idx="582">
                  <c:v>-9.9107099999999999</c:v>
                </c:pt>
                <c:pt idx="583">
                  <c:v>-10.210699999999999</c:v>
                </c:pt>
                <c:pt idx="584">
                  <c:v>-10.5107</c:v>
                </c:pt>
                <c:pt idx="585">
                  <c:v>-10.810700000000001</c:v>
                </c:pt>
                <c:pt idx="586">
                  <c:v>-11.1107</c:v>
                </c:pt>
                <c:pt idx="587">
                  <c:v>-11.4107</c:v>
                </c:pt>
                <c:pt idx="588">
                  <c:v>-11.710699999999999</c:v>
                </c:pt>
                <c:pt idx="589">
                  <c:v>-12.0107</c:v>
                </c:pt>
                <c:pt idx="590">
                  <c:v>-12.310700000000001</c:v>
                </c:pt>
                <c:pt idx="591">
                  <c:v>-12.6107</c:v>
                </c:pt>
                <c:pt idx="592">
                  <c:v>-12.9107</c:v>
                </c:pt>
                <c:pt idx="593">
                  <c:v>-13.210699999999999</c:v>
                </c:pt>
                <c:pt idx="594">
                  <c:v>-13.5107</c:v>
                </c:pt>
                <c:pt idx="595">
                  <c:v>-13.810700000000001</c:v>
                </c:pt>
                <c:pt idx="596">
                  <c:v>-14.1107</c:v>
                </c:pt>
                <c:pt idx="597">
                  <c:v>-14.4107</c:v>
                </c:pt>
                <c:pt idx="598">
                  <c:v>-14.710699999999999</c:v>
                </c:pt>
                <c:pt idx="599">
                  <c:v>-15.0107</c:v>
                </c:pt>
                <c:pt idx="600">
                  <c:v>-14.6607</c:v>
                </c:pt>
                <c:pt idx="601">
                  <c:v>-14.310700000000001</c:v>
                </c:pt>
                <c:pt idx="602">
                  <c:v>-13.960699999999999</c:v>
                </c:pt>
                <c:pt idx="603">
                  <c:v>-13.6107</c:v>
                </c:pt>
                <c:pt idx="604">
                  <c:v>-13.2607</c:v>
                </c:pt>
                <c:pt idx="605">
                  <c:v>-12.9107</c:v>
                </c:pt>
                <c:pt idx="606">
                  <c:v>-12.560700000000001</c:v>
                </c:pt>
                <c:pt idx="607">
                  <c:v>-12.210699999999999</c:v>
                </c:pt>
                <c:pt idx="608">
                  <c:v>-11.8607</c:v>
                </c:pt>
                <c:pt idx="609">
                  <c:v>-11.5107</c:v>
                </c:pt>
                <c:pt idx="610">
                  <c:v>-11.1607</c:v>
                </c:pt>
                <c:pt idx="611">
                  <c:v>-10.810700000000001</c:v>
                </c:pt>
                <c:pt idx="612">
                  <c:v>-10.460699999999999</c:v>
                </c:pt>
                <c:pt idx="613">
                  <c:v>-10.1107</c:v>
                </c:pt>
                <c:pt idx="614">
                  <c:v>-9.7607099999999996</c:v>
                </c:pt>
                <c:pt idx="615">
                  <c:v>-9.4107099999999999</c:v>
                </c:pt>
                <c:pt idx="616">
                  <c:v>-9.0607100000000003</c:v>
                </c:pt>
                <c:pt idx="617">
                  <c:v>-8.7107100000000006</c:v>
                </c:pt>
                <c:pt idx="618">
                  <c:v>-8.3607099999999992</c:v>
                </c:pt>
                <c:pt idx="619">
                  <c:v>-8.0107099999999996</c:v>
                </c:pt>
                <c:pt idx="620">
                  <c:v>-7.6607099999999999</c:v>
                </c:pt>
                <c:pt idx="621">
                  <c:v>-7.3107100000000003</c:v>
                </c:pt>
                <c:pt idx="622">
                  <c:v>-6.9607099999999997</c:v>
                </c:pt>
                <c:pt idx="623">
                  <c:v>-6.6107100000000001</c:v>
                </c:pt>
                <c:pt idx="624">
                  <c:v>-6.2607100000000004</c:v>
                </c:pt>
                <c:pt idx="625">
                  <c:v>-5.9107099999999999</c:v>
                </c:pt>
                <c:pt idx="626">
                  <c:v>-5.5607100000000003</c:v>
                </c:pt>
                <c:pt idx="627">
                  <c:v>-5.2107099999999997</c:v>
                </c:pt>
                <c:pt idx="628">
                  <c:v>-4.8607100000000001</c:v>
                </c:pt>
                <c:pt idx="629">
                  <c:v>-4.5107100000000004</c:v>
                </c:pt>
                <c:pt idx="630">
                  <c:v>-4.1607099999999999</c:v>
                </c:pt>
                <c:pt idx="631">
                  <c:v>-3.8107099999999998</c:v>
                </c:pt>
                <c:pt idx="632">
                  <c:v>-3.4607100000000002</c:v>
                </c:pt>
                <c:pt idx="633">
                  <c:v>-3.1107100000000001</c:v>
                </c:pt>
                <c:pt idx="634">
                  <c:v>-2.76071</c:v>
                </c:pt>
                <c:pt idx="635">
                  <c:v>-2.4107099999999999</c:v>
                </c:pt>
                <c:pt idx="636">
                  <c:v>-2.0607099999999998</c:v>
                </c:pt>
                <c:pt idx="637">
                  <c:v>-1.71071</c:v>
                </c:pt>
                <c:pt idx="638">
                  <c:v>-1.3607100000000001</c:v>
                </c:pt>
                <c:pt idx="639">
                  <c:v>-1.01071</c:v>
                </c:pt>
                <c:pt idx="640">
                  <c:v>-0.66070799999999996</c:v>
                </c:pt>
                <c:pt idx="641">
                  <c:v>-0.31070799999999998</c:v>
                </c:pt>
                <c:pt idx="642">
                  <c:v>3.9292399999999998E-2</c:v>
                </c:pt>
                <c:pt idx="643">
                  <c:v>0.38929200000000003</c:v>
                </c:pt>
                <c:pt idx="644">
                  <c:v>0.73929199999999995</c:v>
                </c:pt>
                <c:pt idx="645">
                  <c:v>1.0892900000000001</c:v>
                </c:pt>
                <c:pt idx="646">
                  <c:v>1.43929</c:v>
                </c:pt>
                <c:pt idx="647">
                  <c:v>1.78929</c:v>
                </c:pt>
                <c:pt idx="648">
                  <c:v>2.1392899999999999</c:v>
                </c:pt>
                <c:pt idx="649">
                  <c:v>2.48929</c:v>
                </c:pt>
                <c:pt idx="650">
                  <c:v>2.8392900000000001</c:v>
                </c:pt>
                <c:pt idx="651">
                  <c:v>3.1892900000000002</c:v>
                </c:pt>
                <c:pt idx="652">
                  <c:v>3.5392899999999998</c:v>
                </c:pt>
                <c:pt idx="653">
                  <c:v>3.8892899999999999</c:v>
                </c:pt>
                <c:pt idx="654">
                  <c:v>4.2392899999999996</c:v>
                </c:pt>
                <c:pt idx="655">
                  <c:v>4.5892900000000001</c:v>
                </c:pt>
                <c:pt idx="656">
                  <c:v>4.9392899999999997</c:v>
                </c:pt>
                <c:pt idx="657">
                  <c:v>5.2892900000000003</c:v>
                </c:pt>
                <c:pt idx="658">
                  <c:v>5.6392899999999999</c:v>
                </c:pt>
                <c:pt idx="659">
                  <c:v>5.9892899999999996</c:v>
                </c:pt>
                <c:pt idx="660">
                  <c:v>6.3392900000000001</c:v>
                </c:pt>
                <c:pt idx="661">
                  <c:v>6.6892899999999997</c:v>
                </c:pt>
                <c:pt idx="662">
                  <c:v>7.0392900000000003</c:v>
                </c:pt>
                <c:pt idx="663">
                  <c:v>7.3892899999999999</c:v>
                </c:pt>
                <c:pt idx="664">
                  <c:v>7.7392899999999996</c:v>
                </c:pt>
                <c:pt idx="665">
                  <c:v>8.0892900000000001</c:v>
                </c:pt>
                <c:pt idx="666">
                  <c:v>8.4392899999999997</c:v>
                </c:pt>
                <c:pt idx="667">
                  <c:v>8.7892899999999994</c:v>
                </c:pt>
                <c:pt idx="668">
                  <c:v>9.1392900000000008</c:v>
                </c:pt>
                <c:pt idx="669">
                  <c:v>9.4892900000000004</c:v>
                </c:pt>
                <c:pt idx="670">
                  <c:v>9.8392900000000001</c:v>
                </c:pt>
                <c:pt idx="671">
                  <c:v>10.189299999999999</c:v>
                </c:pt>
                <c:pt idx="672">
                  <c:v>10.539300000000001</c:v>
                </c:pt>
                <c:pt idx="673">
                  <c:v>10.8893</c:v>
                </c:pt>
                <c:pt idx="674">
                  <c:v>11.2393</c:v>
                </c:pt>
                <c:pt idx="675">
                  <c:v>11.5893</c:v>
                </c:pt>
                <c:pt idx="676">
                  <c:v>11.939299999999999</c:v>
                </c:pt>
                <c:pt idx="677">
                  <c:v>12.289300000000001</c:v>
                </c:pt>
                <c:pt idx="678">
                  <c:v>12.6393</c:v>
                </c:pt>
                <c:pt idx="679">
                  <c:v>12.9893</c:v>
                </c:pt>
                <c:pt idx="680">
                  <c:v>13.3393</c:v>
                </c:pt>
                <c:pt idx="681">
                  <c:v>13.689299999999999</c:v>
                </c:pt>
                <c:pt idx="682">
                  <c:v>14.039300000000001</c:v>
                </c:pt>
                <c:pt idx="683">
                  <c:v>14.3893</c:v>
                </c:pt>
                <c:pt idx="684">
                  <c:v>14.7393</c:v>
                </c:pt>
                <c:pt idx="685">
                  <c:v>15.0893</c:v>
                </c:pt>
                <c:pt idx="686">
                  <c:v>15.439299999999999</c:v>
                </c:pt>
                <c:pt idx="687">
                  <c:v>15.789300000000001</c:v>
                </c:pt>
                <c:pt idx="688">
                  <c:v>16.139299999999999</c:v>
                </c:pt>
                <c:pt idx="689">
                  <c:v>16.4893</c:v>
                </c:pt>
                <c:pt idx="690">
                  <c:v>16.839300000000001</c:v>
                </c:pt>
                <c:pt idx="691">
                  <c:v>17.189299999999999</c:v>
                </c:pt>
                <c:pt idx="692">
                  <c:v>17.539300000000001</c:v>
                </c:pt>
                <c:pt idx="693">
                  <c:v>17.889299999999999</c:v>
                </c:pt>
                <c:pt idx="694">
                  <c:v>18.2393</c:v>
                </c:pt>
                <c:pt idx="695">
                  <c:v>18.589300000000001</c:v>
                </c:pt>
                <c:pt idx="696">
                  <c:v>18.939299999999999</c:v>
                </c:pt>
                <c:pt idx="697">
                  <c:v>19.289300000000001</c:v>
                </c:pt>
                <c:pt idx="698">
                  <c:v>19.639299999999999</c:v>
                </c:pt>
                <c:pt idx="699">
                  <c:v>19.9893</c:v>
                </c:pt>
                <c:pt idx="700">
                  <c:v>19.589300000000001</c:v>
                </c:pt>
                <c:pt idx="701">
                  <c:v>19.189299999999999</c:v>
                </c:pt>
                <c:pt idx="702">
                  <c:v>18.789300000000001</c:v>
                </c:pt>
                <c:pt idx="703">
                  <c:v>18.389299999999999</c:v>
                </c:pt>
                <c:pt idx="704">
                  <c:v>17.9893</c:v>
                </c:pt>
                <c:pt idx="705">
                  <c:v>17.589300000000001</c:v>
                </c:pt>
                <c:pt idx="706">
                  <c:v>17.189299999999999</c:v>
                </c:pt>
                <c:pt idx="707">
                  <c:v>16.789300000000001</c:v>
                </c:pt>
                <c:pt idx="708">
                  <c:v>16.389299999999999</c:v>
                </c:pt>
                <c:pt idx="709">
                  <c:v>15.9893</c:v>
                </c:pt>
                <c:pt idx="710">
                  <c:v>15.5893</c:v>
                </c:pt>
                <c:pt idx="711">
                  <c:v>15.189299999999999</c:v>
                </c:pt>
                <c:pt idx="712">
                  <c:v>14.789300000000001</c:v>
                </c:pt>
                <c:pt idx="713">
                  <c:v>14.3893</c:v>
                </c:pt>
                <c:pt idx="714">
                  <c:v>13.9893</c:v>
                </c:pt>
                <c:pt idx="715">
                  <c:v>13.5893</c:v>
                </c:pt>
                <c:pt idx="716">
                  <c:v>13.189299999999999</c:v>
                </c:pt>
                <c:pt idx="717">
                  <c:v>12.789300000000001</c:v>
                </c:pt>
                <c:pt idx="718">
                  <c:v>12.3893</c:v>
                </c:pt>
                <c:pt idx="719">
                  <c:v>11.9893</c:v>
                </c:pt>
                <c:pt idx="720">
                  <c:v>11.5893</c:v>
                </c:pt>
                <c:pt idx="721">
                  <c:v>11.189299999999999</c:v>
                </c:pt>
                <c:pt idx="722">
                  <c:v>10.789300000000001</c:v>
                </c:pt>
                <c:pt idx="723">
                  <c:v>10.3893</c:v>
                </c:pt>
                <c:pt idx="724">
                  <c:v>9.9892900000000004</c:v>
                </c:pt>
                <c:pt idx="725">
                  <c:v>9.5892900000000001</c:v>
                </c:pt>
                <c:pt idx="726">
                  <c:v>9.1892899999999997</c:v>
                </c:pt>
                <c:pt idx="727">
                  <c:v>8.7892899999999994</c:v>
                </c:pt>
                <c:pt idx="728">
                  <c:v>8.3892900000000008</c:v>
                </c:pt>
                <c:pt idx="729">
                  <c:v>7.9892899999999996</c:v>
                </c:pt>
                <c:pt idx="730">
                  <c:v>7.5892900000000001</c:v>
                </c:pt>
                <c:pt idx="731">
                  <c:v>7.1892899999999997</c:v>
                </c:pt>
                <c:pt idx="732">
                  <c:v>6.7892900000000003</c:v>
                </c:pt>
                <c:pt idx="733">
                  <c:v>6.3892899999999999</c:v>
                </c:pt>
                <c:pt idx="734">
                  <c:v>5.9892899999999996</c:v>
                </c:pt>
                <c:pt idx="735">
                  <c:v>5.5892900000000001</c:v>
                </c:pt>
                <c:pt idx="736">
                  <c:v>5.1892899999999997</c:v>
                </c:pt>
                <c:pt idx="737">
                  <c:v>4.7892900000000003</c:v>
                </c:pt>
                <c:pt idx="738">
                  <c:v>4.3892899999999999</c:v>
                </c:pt>
                <c:pt idx="739">
                  <c:v>3.98929</c:v>
                </c:pt>
                <c:pt idx="740">
                  <c:v>3.5892900000000001</c:v>
                </c:pt>
                <c:pt idx="741">
                  <c:v>3.1892900000000002</c:v>
                </c:pt>
                <c:pt idx="742">
                  <c:v>2.7892899999999998</c:v>
                </c:pt>
                <c:pt idx="743">
                  <c:v>2.3892899999999999</c:v>
                </c:pt>
                <c:pt idx="744">
                  <c:v>1.98929</c:v>
                </c:pt>
                <c:pt idx="745">
                  <c:v>1.5892900000000001</c:v>
                </c:pt>
                <c:pt idx="746">
                  <c:v>1.18929</c:v>
                </c:pt>
                <c:pt idx="747">
                  <c:v>0.78929199999999999</c:v>
                </c:pt>
                <c:pt idx="748">
                  <c:v>0.38929200000000003</c:v>
                </c:pt>
                <c:pt idx="749">
                  <c:v>-1.0707599999999999E-2</c:v>
                </c:pt>
                <c:pt idx="750">
                  <c:v>-0.41070800000000002</c:v>
                </c:pt>
                <c:pt idx="751">
                  <c:v>-0.81070799999999998</c:v>
                </c:pt>
                <c:pt idx="752">
                  <c:v>-1.21071</c:v>
                </c:pt>
                <c:pt idx="753">
                  <c:v>-1.6107100000000001</c:v>
                </c:pt>
                <c:pt idx="754">
                  <c:v>-2.01071</c:v>
                </c:pt>
                <c:pt idx="755">
                  <c:v>-2.4107099999999999</c:v>
                </c:pt>
                <c:pt idx="756">
                  <c:v>-2.8107099999999998</c:v>
                </c:pt>
                <c:pt idx="757">
                  <c:v>-3.2107100000000002</c:v>
                </c:pt>
                <c:pt idx="758">
                  <c:v>-3.6107100000000001</c:v>
                </c:pt>
                <c:pt idx="759">
                  <c:v>-4.0107100000000004</c:v>
                </c:pt>
                <c:pt idx="760">
                  <c:v>-4.4107099999999999</c:v>
                </c:pt>
                <c:pt idx="761">
                  <c:v>-4.8107100000000003</c:v>
                </c:pt>
                <c:pt idx="762">
                  <c:v>-5.2107099999999997</c:v>
                </c:pt>
                <c:pt idx="763">
                  <c:v>-5.6107100000000001</c:v>
                </c:pt>
                <c:pt idx="764">
                  <c:v>-6.0107100000000004</c:v>
                </c:pt>
                <c:pt idx="765">
                  <c:v>-6.4107099999999999</c:v>
                </c:pt>
                <c:pt idx="766">
                  <c:v>-6.8107100000000003</c:v>
                </c:pt>
                <c:pt idx="767">
                  <c:v>-7.2107099999999997</c:v>
                </c:pt>
                <c:pt idx="768">
                  <c:v>-7.6107100000000001</c:v>
                </c:pt>
                <c:pt idx="769">
                  <c:v>-8.0107099999999996</c:v>
                </c:pt>
                <c:pt idx="770">
                  <c:v>-8.4107099999999999</c:v>
                </c:pt>
                <c:pt idx="771">
                  <c:v>-8.8107100000000003</c:v>
                </c:pt>
                <c:pt idx="772">
                  <c:v>-9.2107100000000006</c:v>
                </c:pt>
                <c:pt idx="773">
                  <c:v>-9.6107099999999992</c:v>
                </c:pt>
                <c:pt idx="774">
                  <c:v>-10.0107</c:v>
                </c:pt>
                <c:pt idx="775">
                  <c:v>-10.4107</c:v>
                </c:pt>
                <c:pt idx="776">
                  <c:v>-10.810700000000001</c:v>
                </c:pt>
                <c:pt idx="777">
                  <c:v>-11.210699999999999</c:v>
                </c:pt>
                <c:pt idx="778">
                  <c:v>-11.6107</c:v>
                </c:pt>
                <c:pt idx="779">
                  <c:v>-12.0107</c:v>
                </c:pt>
                <c:pt idx="780">
                  <c:v>-12.4107</c:v>
                </c:pt>
                <c:pt idx="781">
                  <c:v>-12.810700000000001</c:v>
                </c:pt>
                <c:pt idx="782">
                  <c:v>-13.210699999999999</c:v>
                </c:pt>
                <c:pt idx="783">
                  <c:v>-13.6107</c:v>
                </c:pt>
                <c:pt idx="784">
                  <c:v>-14.0107</c:v>
                </c:pt>
                <c:pt idx="785">
                  <c:v>-14.4107</c:v>
                </c:pt>
                <c:pt idx="786">
                  <c:v>-14.810700000000001</c:v>
                </c:pt>
                <c:pt idx="787">
                  <c:v>-15.210699999999999</c:v>
                </c:pt>
                <c:pt idx="788">
                  <c:v>-15.6107</c:v>
                </c:pt>
                <c:pt idx="789">
                  <c:v>-16.0107</c:v>
                </c:pt>
                <c:pt idx="790">
                  <c:v>-16.410699999999999</c:v>
                </c:pt>
                <c:pt idx="791">
                  <c:v>-16.810700000000001</c:v>
                </c:pt>
                <c:pt idx="792">
                  <c:v>-17.210699999999999</c:v>
                </c:pt>
                <c:pt idx="793">
                  <c:v>-17.610700000000001</c:v>
                </c:pt>
                <c:pt idx="794">
                  <c:v>-18.0107</c:v>
                </c:pt>
                <c:pt idx="795">
                  <c:v>-18.410699999999999</c:v>
                </c:pt>
                <c:pt idx="796">
                  <c:v>-18.810700000000001</c:v>
                </c:pt>
                <c:pt idx="797">
                  <c:v>-19.210699999999999</c:v>
                </c:pt>
                <c:pt idx="798">
                  <c:v>-19.610700000000001</c:v>
                </c:pt>
                <c:pt idx="799">
                  <c:v>-20.0107</c:v>
                </c:pt>
                <c:pt idx="800">
                  <c:v>-19.560700000000001</c:v>
                </c:pt>
                <c:pt idx="801">
                  <c:v>-19.110700000000001</c:v>
                </c:pt>
                <c:pt idx="802">
                  <c:v>-18.660699999999999</c:v>
                </c:pt>
                <c:pt idx="803">
                  <c:v>-18.210699999999999</c:v>
                </c:pt>
                <c:pt idx="804">
                  <c:v>-17.7607</c:v>
                </c:pt>
                <c:pt idx="805">
                  <c:v>-17.310700000000001</c:v>
                </c:pt>
                <c:pt idx="806">
                  <c:v>-16.860700000000001</c:v>
                </c:pt>
                <c:pt idx="807">
                  <c:v>-16.410699999999999</c:v>
                </c:pt>
                <c:pt idx="808">
                  <c:v>-15.960699999999999</c:v>
                </c:pt>
                <c:pt idx="809">
                  <c:v>-15.5107</c:v>
                </c:pt>
                <c:pt idx="810">
                  <c:v>-15.060700000000001</c:v>
                </c:pt>
                <c:pt idx="811">
                  <c:v>-14.6107</c:v>
                </c:pt>
                <c:pt idx="812">
                  <c:v>-14.1607</c:v>
                </c:pt>
                <c:pt idx="813">
                  <c:v>-13.710699999999999</c:v>
                </c:pt>
                <c:pt idx="814">
                  <c:v>-13.2607</c:v>
                </c:pt>
                <c:pt idx="815">
                  <c:v>-12.810700000000001</c:v>
                </c:pt>
                <c:pt idx="816">
                  <c:v>-12.3607</c:v>
                </c:pt>
                <c:pt idx="817">
                  <c:v>-11.9107</c:v>
                </c:pt>
                <c:pt idx="818">
                  <c:v>-11.460699999999999</c:v>
                </c:pt>
                <c:pt idx="819">
                  <c:v>-11.0107</c:v>
                </c:pt>
                <c:pt idx="820">
                  <c:v>-10.560700000000001</c:v>
                </c:pt>
                <c:pt idx="821">
                  <c:v>-10.1107</c:v>
                </c:pt>
                <c:pt idx="822">
                  <c:v>-9.6607099999999999</c:v>
                </c:pt>
                <c:pt idx="823">
                  <c:v>-9.2107100000000006</c:v>
                </c:pt>
                <c:pt idx="824">
                  <c:v>-8.7607099999999996</c:v>
                </c:pt>
                <c:pt idx="825">
                  <c:v>-8.3107100000000003</c:v>
                </c:pt>
                <c:pt idx="826">
                  <c:v>-7.8607100000000001</c:v>
                </c:pt>
                <c:pt idx="827">
                  <c:v>-7.4107099999999999</c:v>
                </c:pt>
                <c:pt idx="828">
                  <c:v>-6.9607099999999997</c:v>
                </c:pt>
                <c:pt idx="829">
                  <c:v>-6.5107100000000004</c:v>
                </c:pt>
                <c:pt idx="830">
                  <c:v>-6.0607100000000003</c:v>
                </c:pt>
                <c:pt idx="831">
                  <c:v>-5.6107100000000001</c:v>
                </c:pt>
                <c:pt idx="832">
                  <c:v>-5.1607099999999999</c:v>
                </c:pt>
                <c:pt idx="833">
                  <c:v>-4.7107099999999997</c:v>
                </c:pt>
                <c:pt idx="834">
                  <c:v>-4.2607100000000004</c:v>
                </c:pt>
                <c:pt idx="835">
                  <c:v>-3.8107099999999998</c:v>
                </c:pt>
                <c:pt idx="836">
                  <c:v>-3.3607100000000001</c:v>
                </c:pt>
                <c:pt idx="837">
                  <c:v>-2.9107099999999999</c:v>
                </c:pt>
                <c:pt idx="838">
                  <c:v>-2.4607100000000002</c:v>
                </c:pt>
                <c:pt idx="839">
                  <c:v>-2.01071</c:v>
                </c:pt>
                <c:pt idx="840">
                  <c:v>-1.56071</c:v>
                </c:pt>
                <c:pt idx="841">
                  <c:v>-1.1107100000000001</c:v>
                </c:pt>
                <c:pt idx="842">
                  <c:v>-0.66070799999999996</c:v>
                </c:pt>
                <c:pt idx="843">
                  <c:v>-0.21070800000000001</c:v>
                </c:pt>
                <c:pt idx="844">
                  <c:v>0.239292</c:v>
                </c:pt>
                <c:pt idx="845">
                  <c:v>0.68929200000000002</c:v>
                </c:pt>
                <c:pt idx="846">
                  <c:v>1.1392899999999999</c:v>
                </c:pt>
                <c:pt idx="847">
                  <c:v>1.5892900000000001</c:v>
                </c:pt>
                <c:pt idx="848">
                  <c:v>2.0392899999999998</c:v>
                </c:pt>
                <c:pt idx="849">
                  <c:v>2.48929</c:v>
                </c:pt>
                <c:pt idx="850">
                  <c:v>2.9392900000000002</c:v>
                </c:pt>
                <c:pt idx="851">
                  <c:v>3.3892899999999999</c:v>
                </c:pt>
                <c:pt idx="852">
                  <c:v>3.8392900000000001</c:v>
                </c:pt>
                <c:pt idx="853">
                  <c:v>4.2892900000000003</c:v>
                </c:pt>
                <c:pt idx="854">
                  <c:v>4.7392899999999996</c:v>
                </c:pt>
                <c:pt idx="855">
                  <c:v>5.1892899999999997</c:v>
                </c:pt>
                <c:pt idx="856">
                  <c:v>5.6392899999999999</c:v>
                </c:pt>
                <c:pt idx="857">
                  <c:v>6.0892900000000001</c:v>
                </c:pt>
                <c:pt idx="858">
                  <c:v>6.5392900000000003</c:v>
                </c:pt>
                <c:pt idx="859">
                  <c:v>6.9892899999999996</c:v>
                </c:pt>
                <c:pt idx="860">
                  <c:v>7.4392899999999997</c:v>
                </c:pt>
                <c:pt idx="861">
                  <c:v>7.8892899999999999</c:v>
                </c:pt>
                <c:pt idx="862">
                  <c:v>8.3392900000000001</c:v>
                </c:pt>
                <c:pt idx="863">
                  <c:v>8.7892899999999994</c:v>
                </c:pt>
                <c:pt idx="864">
                  <c:v>9.2392900000000004</c:v>
                </c:pt>
                <c:pt idx="865">
                  <c:v>9.6892899999999997</c:v>
                </c:pt>
                <c:pt idx="866">
                  <c:v>10.1393</c:v>
                </c:pt>
                <c:pt idx="867">
                  <c:v>10.5893</c:v>
                </c:pt>
                <c:pt idx="868">
                  <c:v>11.039300000000001</c:v>
                </c:pt>
                <c:pt idx="869">
                  <c:v>11.4893</c:v>
                </c:pt>
                <c:pt idx="870">
                  <c:v>11.939299999999999</c:v>
                </c:pt>
                <c:pt idx="871">
                  <c:v>12.3893</c:v>
                </c:pt>
                <c:pt idx="872">
                  <c:v>12.8393</c:v>
                </c:pt>
                <c:pt idx="873">
                  <c:v>13.289300000000001</c:v>
                </c:pt>
                <c:pt idx="874">
                  <c:v>13.7393</c:v>
                </c:pt>
                <c:pt idx="875">
                  <c:v>14.189299999999999</c:v>
                </c:pt>
                <c:pt idx="876">
                  <c:v>14.6393</c:v>
                </c:pt>
                <c:pt idx="877">
                  <c:v>15.0893</c:v>
                </c:pt>
                <c:pt idx="878">
                  <c:v>15.539300000000001</c:v>
                </c:pt>
                <c:pt idx="879">
                  <c:v>15.9893</c:v>
                </c:pt>
                <c:pt idx="880">
                  <c:v>16.439299999999999</c:v>
                </c:pt>
                <c:pt idx="881">
                  <c:v>16.889299999999999</c:v>
                </c:pt>
                <c:pt idx="882">
                  <c:v>17.339300000000001</c:v>
                </c:pt>
                <c:pt idx="883">
                  <c:v>17.789300000000001</c:v>
                </c:pt>
                <c:pt idx="884">
                  <c:v>18.2393</c:v>
                </c:pt>
                <c:pt idx="885">
                  <c:v>18.689299999999999</c:v>
                </c:pt>
                <c:pt idx="886">
                  <c:v>19.139299999999999</c:v>
                </c:pt>
                <c:pt idx="887">
                  <c:v>19.589300000000001</c:v>
                </c:pt>
                <c:pt idx="888">
                  <c:v>20.039300000000001</c:v>
                </c:pt>
                <c:pt idx="889">
                  <c:v>20.4893</c:v>
                </c:pt>
                <c:pt idx="890">
                  <c:v>20.939299999999999</c:v>
                </c:pt>
                <c:pt idx="891">
                  <c:v>21.389299999999999</c:v>
                </c:pt>
                <c:pt idx="892">
                  <c:v>21.839300000000001</c:v>
                </c:pt>
                <c:pt idx="893">
                  <c:v>22.289300000000001</c:v>
                </c:pt>
                <c:pt idx="894">
                  <c:v>22.7393</c:v>
                </c:pt>
                <c:pt idx="895">
                  <c:v>23.189299999999999</c:v>
                </c:pt>
                <c:pt idx="896">
                  <c:v>23.639299999999999</c:v>
                </c:pt>
                <c:pt idx="897">
                  <c:v>24.089300000000001</c:v>
                </c:pt>
                <c:pt idx="898">
                  <c:v>24.539300000000001</c:v>
                </c:pt>
                <c:pt idx="899">
                  <c:v>24.9893</c:v>
                </c:pt>
                <c:pt idx="900">
                  <c:v>24.4893</c:v>
                </c:pt>
                <c:pt idx="901">
                  <c:v>23.9893</c:v>
                </c:pt>
                <c:pt idx="902">
                  <c:v>23.4893</c:v>
                </c:pt>
                <c:pt idx="903">
                  <c:v>22.9893</c:v>
                </c:pt>
                <c:pt idx="904">
                  <c:v>22.4893</c:v>
                </c:pt>
                <c:pt idx="905">
                  <c:v>21.9893</c:v>
                </c:pt>
                <c:pt idx="906">
                  <c:v>21.4893</c:v>
                </c:pt>
                <c:pt idx="907">
                  <c:v>20.9893</c:v>
                </c:pt>
                <c:pt idx="908">
                  <c:v>20.4893</c:v>
                </c:pt>
                <c:pt idx="909">
                  <c:v>19.9893</c:v>
                </c:pt>
                <c:pt idx="910">
                  <c:v>19.4893</c:v>
                </c:pt>
                <c:pt idx="911">
                  <c:v>18.9893</c:v>
                </c:pt>
                <c:pt idx="912">
                  <c:v>18.4893</c:v>
                </c:pt>
                <c:pt idx="913">
                  <c:v>17.9893</c:v>
                </c:pt>
                <c:pt idx="914">
                  <c:v>17.4893</c:v>
                </c:pt>
                <c:pt idx="915">
                  <c:v>16.9893</c:v>
                </c:pt>
                <c:pt idx="916">
                  <c:v>16.4893</c:v>
                </c:pt>
                <c:pt idx="917">
                  <c:v>15.9893</c:v>
                </c:pt>
                <c:pt idx="918">
                  <c:v>15.4893</c:v>
                </c:pt>
                <c:pt idx="919">
                  <c:v>14.9893</c:v>
                </c:pt>
                <c:pt idx="920">
                  <c:v>14.4893</c:v>
                </c:pt>
                <c:pt idx="921">
                  <c:v>13.9893</c:v>
                </c:pt>
                <c:pt idx="922">
                  <c:v>13.4893</c:v>
                </c:pt>
                <c:pt idx="923">
                  <c:v>12.9893</c:v>
                </c:pt>
                <c:pt idx="924">
                  <c:v>12.4893</c:v>
                </c:pt>
                <c:pt idx="925">
                  <c:v>11.9893</c:v>
                </c:pt>
                <c:pt idx="926">
                  <c:v>11.4893</c:v>
                </c:pt>
                <c:pt idx="927">
                  <c:v>10.9893</c:v>
                </c:pt>
                <c:pt idx="928">
                  <c:v>10.4893</c:v>
                </c:pt>
                <c:pt idx="929">
                  <c:v>9.9892900000000004</c:v>
                </c:pt>
                <c:pt idx="930">
                  <c:v>9.4892900000000004</c:v>
                </c:pt>
                <c:pt idx="931">
                  <c:v>8.9892900000000004</c:v>
                </c:pt>
                <c:pt idx="932">
                  <c:v>8.4892900000000004</c:v>
                </c:pt>
                <c:pt idx="933">
                  <c:v>7.9892899999999996</c:v>
                </c:pt>
                <c:pt idx="934">
                  <c:v>7.4892899999999996</c:v>
                </c:pt>
                <c:pt idx="935">
                  <c:v>6.9892899999999996</c:v>
                </c:pt>
                <c:pt idx="936">
                  <c:v>6.4892899999999996</c:v>
                </c:pt>
                <c:pt idx="937">
                  <c:v>5.9892899999999996</c:v>
                </c:pt>
                <c:pt idx="938">
                  <c:v>5.4892899999999996</c:v>
                </c:pt>
                <c:pt idx="939">
                  <c:v>4.9892899999999996</c:v>
                </c:pt>
                <c:pt idx="940">
                  <c:v>4.4892899999999996</c:v>
                </c:pt>
                <c:pt idx="941">
                  <c:v>3.98929</c:v>
                </c:pt>
                <c:pt idx="942">
                  <c:v>3.48929</c:v>
                </c:pt>
                <c:pt idx="943">
                  <c:v>2.98929</c:v>
                </c:pt>
                <c:pt idx="944">
                  <c:v>2.48929</c:v>
                </c:pt>
                <c:pt idx="945">
                  <c:v>1.98929</c:v>
                </c:pt>
                <c:pt idx="946">
                  <c:v>1.48929</c:v>
                </c:pt>
                <c:pt idx="947">
                  <c:v>0.98929199999999995</c:v>
                </c:pt>
                <c:pt idx="948">
                  <c:v>0.489292</c:v>
                </c:pt>
                <c:pt idx="949">
                  <c:v>-1.0707599999999999E-2</c:v>
                </c:pt>
                <c:pt idx="950">
                  <c:v>-0.51070800000000005</c:v>
                </c:pt>
                <c:pt idx="951">
                  <c:v>-1.01071</c:v>
                </c:pt>
                <c:pt idx="952">
                  <c:v>-1.51071</c:v>
                </c:pt>
                <c:pt idx="953">
                  <c:v>-2.01071</c:v>
                </c:pt>
                <c:pt idx="954">
                  <c:v>-2.51071</c:v>
                </c:pt>
                <c:pt idx="955">
                  <c:v>-3.01071</c:v>
                </c:pt>
                <c:pt idx="956">
                  <c:v>-3.51071</c:v>
                </c:pt>
                <c:pt idx="957">
                  <c:v>-4.0107100000000004</c:v>
                </c:pt>
                <c:pt idx="958">
                  <c:v>-4.5107100000000004</c:v>
                </c:pt>
                <c:pt idx="959">
                  <c:v>-5.0107100000000004</c:v>
                </c:pt>
                <c:pt idx="960">
                  <c:v>-5.5107100000000004</c:v>
                </c:pt>
                <c:pt idx="961">
                  <c:v>-6.0107100000000004</c:v>
                </c:pt>
                <c:pt idx="962">
                  <c:v>-6.5107100000000004</c:v>
                </c:pt>
                <c:pt idx="963">
                  <c:v>-7.0107100000000004</c:v>
                </c:pt>
                <c:pt idx="964">
                  <c:v>-7.5107100000000004</c:v>
                </c:pt>
                <c:pt idx="965">
                  <c:v>-8.0107099999999996</c:v>
                </c:pt>
                <c:pt idx="966">
                  <c:v>-8.5107099999999996</c:v>
                </c:pt>
                <c:pt idx="967">
                  <c:v>-9.0107099999999996</c:v>
                </c:pt>
                <c:pt idx="968">
                  <c:v>-9.5107099999999996</c:v>
                </c:pt>
                <c:pt idx="969">
                  <c:v>-10.0107</c:v>
                </c:pt>
                <c:pt idx="970">
                  <c:v>-10.5107</c:v>
                </c:pt>
                <c:pt idx="971">
                  <c:v>-11.0107</c:v>
                </c:pt>
                <c:pt idx="972">
                  <c:v>-11.5107</c:v>
                </c:pt>
                <c:pt idx="973">
                  <c:v>-12.0107</c:v>
                </c:pt>
                <c:pt idx="974">
                  <c:v>-12.5107</c:v>
                </c:pt>
                <c:pt idx="975">
                  <c:v>-13.0107</c:v>
                </c:pt>
                <c:pt idx="976">
                  <c:v>-13.5107</c:v>
                </c:pt>
                <c:pt idx="977">
                  <c:v>-14.0107</c:v>
                </c:pt>
                <c:pt idx="978">
                  <c:v>-14.5107</c:v>
                </c:pt>
                <c:pt idx="979">
                  <c:v>-15.0107</c:v>
                </c:pt>
                <c:pt idx="980">
                  <c:v>-15.5107</c:v>
                </c:pt>
                <c:pt idx="981">
                  <c:v>-16.0107</c:v>
                </c:pt>
                <c:pt idx="982">
                  <c:v>-16.5107</c:v>
                </c:pt>
                <c:pt idx="983">
                  <c:v>-17.0107</c:v>
                </c:pt>
                <c:pt idx="984">
                  <c:v>-17.5107</c:v>
                </c:pt>
                <c:pt idx="985">
                  <c:v>-18.0107</c:v>
                </c:pt>
                <c:pt idx="986">
                  <c:v>-18.5107</c:v>
                </c:pt>
                <c:pt idx="987">
                  <c:v>-19.0107</c:v>
                </c:pt>
                <c:pt idx="988">
                  <c:v>-19.5107</c:v>
                </c:pt>
                <c:pt idx="989">
                  <c:v>-20.0107</c:v>
                </c:pt>
                <c:pt idx="990">
                  <c:v>-20.5107</c:v>
                </c:pt>
                <c:pt idx="991">
                  <c:v>-21.0107</c:v>
                </c:pt>
                <c:pt idx="992">
                  <c:v>-21.5107</c:v>
                </c:pt>
                <c:pt idx="993">
                  <c:v>-22.0107</c:v>
                </c:pt>
                <c:pt idx="994">
                  <c:v>-22.5107</c:v>
                </c:pt>
                <c:pt idx="995">
                  <c:v>-23.0107</c:v>
                </c:pt>
                <c:pt idx="996">
                  <c:v>-23.5107</c:v>
                </c:pt>
                <c:pt idx="997">
                  <c:v>-24.0107</c:v>
                </c:pt>
                <c:pt idx="998">
                  <c:v>-24.5107</c:v>
                </c:pt>
                <c:pt idx="999">
                  <c:v>-25.0107</c:v>
                </c:pt>
              </c:numCache>
            </c:numRef>
          </c:xVal>
          <c:yVal>
            <c:numRef>
              <c:f>Result!$G$1:$G$5000</c:f>
              <c:numCache>
                <c:formatCode>General</c:formatCode>
                <c:ptCount val="5000"/>
                <c:pt idx="0">
                  <c:v>0.41206900000000002</c:v>
                </c:pt>
                <c:pt idx="1">
                  <c:v>0.44226900000000002</c:v>
                </c:pt>
                <c:pt idx="2">
                  <c:v>0.55122599999999999</c:v>
                </c:pt>
                <c:pt idx="3">
                  <c:v>0.699241</c:v>
                </c:pt>
                <c:pt idx="4">
                  <c:v>0.86646199999999995</c:v>
                </c:pt>
                <c:pt idx="5">
                  <c:v>1.0429600000000001</c:v>
                </c:pt>
                <c:pt idx="6">
                  <c:v>1.2237800000000001</c:v>
                </c:pt>
                <c:pt idx="7">
                  <c:v>1.40642</c:v>
                </c:pt>
                <c:pt idx="8">
                  <c:v>1.5896600000000001</c:v>
                </c:pt>
                <c:pt idx="9">
                  <c:v>1.77285</c:v>
                </c:pt>
                <c:pt idx="10">
                  <c:v>1.9557</c:v>
                </c:pt>
                <c:pt idx="11">
                  <c:v>2.1380400000000002</c:v>
                </c:pt>
                <c:pt idx="12">
                  <c:v>2.3197899999999998</c:v>
                </c:pt>
                <c:pt idx="13">
                  <c:v>2.5009100000000002</c:v>
                </c:pt>
                <c:pt idx="14">
                  <c:v>2.6813699999999998</c:v>
                </c:pt>
                <c:pt idx="15">
                  <c:v>2.8611800000000001</c:v>
                </c:pt>
                <c:pt idx="16">
                  <c:v>3.0402999999999998</c:v>
                </c:pt>
                <c:pt idx="17">
                  <c:v>3.21875</c:v>
                </c:pt>
                <c:pt idx="18">
                  <c:v>3.3965100000000001</c:v>
                </c:pt>
                <c:pt idx="19">
                  <c:v>3.5735800000000002</c:v>
                </c:pt>
                <c:pt idx="20">
                  <c:v>3.7499600000000002</c:v>
                </c:pt>
                <c:pt idx="21">
                  <c:v>3.9256500000000001</c:v>
                </c:pt>
                <c:pt idx="22">
                  <c:v>4.1006299999999998</c:v>
                </c:pt>
                <c:pt idx="23">
                  <c:v>4.2749199999999998</c:v>
                </c:pt>
                <c:pt idx="24">
                  <c:v>4.4484899999999996</c:v>
                </c:pt>
                <c:pt idx="25">
                  <c:v>4.6213499999999996</c:v>
                </c:pt>
                <c:pt idx="26">
                  <c:v>4.7934999999999999</c:v>
                </c:pt>
                <c:pt idx="27">
                  <c:v>4.9649299999999998</c:v>
                </c:pt>
                <c:pt idx="28">
                  <c:v>5.1356400000000004</c:v>
                </c:pt>
                <c:pt idx="29">
                  <c:v>5.3056200000000002</c:v>
                </c:pt>
                <c:pt idx="30">
                  <c:v>5.4748700000000001</c:v>
                </c:pt>
                <c:pt idx="31">
                  <c:v>5.6433799999999996</c:v>
                </c:pt>
                <c:pt idx="32">
                  <c:v>5.8111600000000001</c:v>
                </c:pt>
                <c:pt idx="33">
                  <c:v>5.9781899999999997</c:v>
                </c:pt>
                <c:pt idx="34">
                  <c:v>6.1444799999999997</c:v>
                </c:pt>
                <c:pt idx="35">
                  <c:v>6.3100100000000001</c:v>
                </c:pt>
                <c:pt idx="36">
                  <c:v>6.4747899999999996</c:v>
                </c:pt>
                <c:pt idx="37">
                  <c:v>6.6388100000000003</c:v>
                </c:pt>
                <c:pt idx="38">
                  <c:v>6.80206</c:v>
                </c:pt>
                <c:pt idx="39">
                  <c:v>6.9645400000000004</c:v>
                </c:pt>
                <c:pt idx="40">
                  <c:v>7.1262400000000001</c:v>
                </c:pt>
                <c:pt idx="41">
                  <c:v>7.2871699999999997</c:v>
                </c:pt>
                <c:pt idx="42">
                  <c:v>7.4473099999999999</c:v>
                </c:pt>
                <c:pt idx="43">
                  <c:v>7.6066599999999998</c:v>
                </c:pt>
                <c:pt idx="44">
                  <c:v>7.7652200000000002</c:v>
                </c:pt>
                <c:pt idx="45">
                  <c:v>7.9229700000000003</c:v>
                </c:pt>
                <c:pt idx="46">
                  <c:v>8.0799199999999995</c:v>
                </c:pt>
                <c:pt idx="47">
                  <c:v>8.2360600000000002</c:v>
                </c:pt>
                <c:pt idx="48">
                  <c:v>8.3913899999999995</c:v>
                </c:pt>
                <c:pt idx="49">
                  <c:v>8.54589</c:v>
                </c:pt>
                <c:pt idx="50">
                  <c:v>8.69956</c:v>
                </c:pt>
                <c:pt idx="51">
                  <c:v>8.8523999999999994</c:v>
                </c:pt>
                <c:pt idx="52">
                  <c:v>9.0043900000000008</c:v>
                </c:pt>
                <c:pt idx="53">
                  <c:v>9.1555499999999999</c:v>
                </c:pt>
                <c:pt idx="54">
                  <c:v>9.3058399999999999</c:v>
                </c:pt>
                <c:pt idx="55">
                  <c:v>9.4552899999999998</c:v>
                </c:pt>
                <c:pt idx="56">
                  <c:v>9.6038599999999992</c:v>
                </c:pt>
                <c:pt idx="57">
                  <c:v>9.7515599999999996</c:v>
                </c:pt>
                <c:pt idx="58">
                  <c:v>9.8983899999999991</c:v>
                </c:pt>
                <c:pt idx="59">
                  <c:v>10.0443</c:v>
                </c:pt>
                <c:pt idx="60">
                  <c:v>10.189399999999999</c:v>
                </c:pt>
                <c:pt idx="61">
                  <c:v>10.333500000000001</c:v>
                </c:pt>
                <c:pt idx="62">
                  <c:v>10.476699999999999</c:v>
                </c:pt>
                <c:pt idx="63">
                  <c:v>10.6191</c:v>
                </c:pt>
                <c:pt idx="64">
                  <c:v>10.7605</c:v>
                </c:pt>
                <c:pt idx="65">
                  <c:v>10.9009</c:v>
                </c:pt>
                <c:pt idx="66">
                  <c:v>11.0404</c:v>
                </c:pt>
                <c:pt idx="67">
                  <c:v>11.179</c:v>
                </c:pt>
                <c:pt idx="68">
                  <c:v>11.316599999999999</c:v>
                </c:pt>
                <c:pt idx="69">
                  <c:v>11.453200000000001</c:v>
                </c:pt>
                <c:pt idx="70">
                  <c:v>11.588900000000001</c:v>
                </c:pt>
                <c:pt idx="71">
                  <c:v>11.723599999999999</c:v>
                </c:pt>
                <c:pt idx="72">
                  <c:v>11.857200000000001</c:v>
                </c:pt>
                <c:pt idx="73">
                  <c:v>11.9899</c:v>
                </c:pt>
                <c:pt idx="74">
                  <c:v>12.121600000000001</c:v>
                </c:pt>
                <c:pt idx="75">
                  <c:v>12.2522</c:v>
                </c:pt>
                <c:pt idx="76">
                  <c:v>12.3817</c:v>
                </c:pt>
                <c:pt idx="77">
                  <c:v>12.510300000000001</c:v>
                </c:pt>
                <c:pt idx="78">
                  <c:v>12.637700000000001</c:v>
                </c:pt>
                <c:pt idx="79">
                  <c:v>12.7639</c:v>
                </c:pt>
                <c:pt idx="80">
                  <c:v>12.8887</c:v>
                </c:pt>
                <c:pt idx="81">
                  <c:v>13.0116</c:v>
                </c:pt>
                <c:pt idx="82">
                  <c:v>13.133100000000001</c:v>
                </c:pt>
                <c:pt idx="83">
                  <c:v>13.253399999999999</c:v>
                </c:pt>
                <c:pt idx="84">
                  <c:v>13.372299999999999</c:v>
                </c:pt>
                <c:pt idx="85">
                  <c:v>13.4892</c:v>
                </c:pt>
                <c:pt idx="86">
                  <c:v>13.6045</c:v>
                </c:pt>
                <c:pt idx="87">
                  <c:v>13.7173</c:v>
                </c:pt>
                <c:pt idx="88">
                  <c:v>13.8248</c:v>
                </c:pt>
                <c:pt idx="89">
                  <c:v>13.9305</c:v>
                </c:pt>
                <c:pt idx="90">
                  <c:v>14.0343</c:v>
                </c:pt>
                <c:pt idx="91">
                  <c:v>14.1365</c:v>
                </c:pt>
                <c:pt idx="92">
                  <c:v>14.237299999999999</c:v>
                </c:pt>
                <c:pt idx="93">
                  <c:v>14.3368</c:v>
                </c:pt>
                <c:pt idx="94">
                  <c:v>14.4346</c:v>
                </c:pt>
                <c:pt idx="95">
                  <c:v>14.530200000000001</c:v>
                </c:pt>
                <c:pt idx="96">
                  <c:v>14.6244</c:v>
                </c:pt>
                <c:pt idx="97">
                  <c:v>14.716900000000001</c:v>
                </c:pt>
                <c:pt idx="98">
                  <c:v>14.806100000000001</c:v>
                </c:pt>
                <c:pt idx="99">
                  <c:v>14.8917</c:v>
                </c:pt>
                <c:pt idx="100">
                  <c:v>14.5229</c:v>
                </c:pt>
                <c:pt idx="101">
                  <c:v>14.103199999999999</c:v>
                </c:pt>
                <c:pt idx="102">
                  <c:v>13.681699999999999</c:v>
                </c:pt>
                <c:pt idx="103">
                  <c:v>13.2592</c:v>
                </c:pt>
                <c:pt idx="104">
                  <c:v>12.836499999999999</c:v>
                </c:pt>
                <c:pt idx="105">
                  <c:v>12.4132</c:v>
                </c:pt>
                <c:pt idx="106">
                  <c:v>11.9879</c:v>
                </c:pt>
                <c:pt idx="107">
                  <c:v>11.560600000000001</c:v>
                </c:pt>
                <c:pt idx="108">
                  <c:v>11.1328</c:v>
                </c:pt>
                <c:pt idx="109">
                  <c:v>10.7049</c:v>
                </c:pt>
                <c:pt idx="110">
                  <c:v>10.277100000000001</c:v>
                </c:pt>
                <c:pt idx="111">
                  <c:v>9.84924</c:v>
                </c:pt>
                <c:pt idx="112">
                  <c:v>9.4214400000000005</c:v>
                </c:pt>
                <c:pt idx="113">
                  <c:v>8.9936600000000002</c:v>
                </c:pt>
                <c:pt idx="114">
                  <c:v>8.5659100000000006</c:v>
                </c:pt>
                <c:pt idx="115">
                  <c:v>8.1382399999999997</c:v>
                </c:pt>
                <c:pt idx="116">
                  <c:v>7.7106500000000002</c:v>
                </c:pt>
                <c:pt idx="117">
                  <c:v>7.2831200000000003</c:v>
                </c:pt>
                <c:pt idx="118">
                  <c:v>6.85562</c:v>
                </c:pt>
                <c:pt idx="119">
                  <c:v>6.4281699999999997</c:v>
                </c:pt>
                <c:pt idx="120">
                  <c:v>6.0008499999999998</c:v>
                </c:pt>
                <c:pt idx="121">
                  <c:v>5.57369</c:v>
                </c:pt>
                <c:pt idx="122">
                  <c:v>5.1467000000000001</c:v>
                </c:pt>
                <c:pt idx="123">
                  <c:v>4.7198799999999999</c:v>
                </c:pt>
                <c:pt idx="124">
                  <c:v>4.2931999999999997</c:v>
                </c:pt>
                <c:pt idx="125">
                  <c:v>3.8670300000000002</c:v>
                </c:pt>
                <c:pt idx="126">
                  <c:v>3.4411399999999999</c:v>
                </c:pt>
                <c:pt idx="127">
                  <c:v>3.0156299999999998</c:v>
                </c:pt>
                <c:pt idx="128">
                  <c:v>2.5905100000000001</c:v>
                </c:pt>
                <c:pt idx="129">
                  <c:v>2.1661700000000002</c:v>
                </c:pt>
                <c:pt idx="130">
                  <c:v>1.74254</c:v>
                </c:pt>
                <c:pt idx="131">
                  <c:v>1.32037</c:v>
                </c:pt>
                <c:pt idx="132">
                  <c:v>0.89926099999999998</c:v>
                </c:pt>
                <c:pt idx="133">
                  <c:v>0.47975899999999999</c:v>
                </c:pt>
                <c:pt idx="134">
                  <c:v>6.3525100000000001E-2</c:v>
                </c:pt>
                <c:pt idx="135">
                  <c:v>-0.350414</c:v>
                </c:pt>
                <c:pt idx="136">
                  <c:v>-0.75890100000000005</c:v>
                </c:pt>
                <c:pt idx="137">
                  <c:v>-1.1609400000000001</c:v>
                </c:pt>
                <c:pt idx="138">
                  <c:v>-1.5531999999999999</c:v>
                </c:pt>
                <c:pt idx="139">
                  <c:v>-1.9321999999999999</c:v>
                </c:pt>
                <c:pt idx="140">
                  <c:v>-2.29956</c:v>
                </c:pt>
                <c:pt idx="141">
                  <c:v>-2.6568999999999998</c:v>
                </c:pt>
                <c:pt idx="142">
                  <c:v>-3.0102099999999998</c:v>
                </c:pt>
                <c:pt idx="143">
                  <c:v>-3.3599899999999998</c:v>
                </c:pt>
                <c:pt idx="144">
                  <c:v>-3.7083300000000001</c:v>
                </c:pt>
                <c:pt idx="145">
                  <c:v>-4.0552599999999996</c:v>
                </c:pt>
                <c:pt idx="146">
                  <c:v>-4.4008000000000003</c:v>
                </c:pt>
                <c:pt idx="147">
                  <c:v>-4.7449500000000002</c:v>
                </c:pt>
                <c:pt idx="148">
                  <c:v>-5.0876700000000001</c:v>
                </c:pt>
                <c:pt idx="149">
                  <c:v>-5.4289699999999996</c:v>
                </c:pt>
                <c:pt idx="150">
                  <c:v>-5.7688300000000003</c:v>
                </c:pt>
                <c:pt idx="151">
                  <c:v>-6.10724</c:v>
                </c:pt>
                <c:pt idx="152">
                  <c:v>-6.4441899999999999</c:v>
                </c:pt>
                <c:pt idx="153">
                  <c:v>-6.7796500000000002</c:v>
                </c:pt>
                <c:pt idx="154">
                  <c:v>-7.1136100000000004</c:v>
                </c:pt>
                <c:pt idx="155">
                  <c:v>-7.4460600000000001</c:v>
                </c:pt>
                <c:pt idx="156">
                  <c:v>-7.77698</c:v>
                </c:pt>
                <c:pt idx="157">
                  <c:v>-8.1063500000000008</c:v>
                </c:pt>
                <c:pt idx="158">
                  <c:v>-8.4333799999999997</c:v>
                </c:pt>
                <c:pt idx="159">
                  <c:v>-8.7576199999999993</c:v>
                </c:pt>
                <c:pt idx="160">
                  <c:v>-9.0795200000000005</c:v>
                </c:pt>
                <c:pt idx="161">
                  <c:v>-9.3985599999999998</c:v>
                </c:pt>
                <c:pt idx="162">
                  <c:v>-9.7130899999999993</c:v>
                </c:pt>
                <c:pt idx="163">
                  <c:v>-10.0206</c:v>
                </c:pt>
                <c:pt idx="164">
                  <c:v>-10.3245</c:v>
                </c:pt>
                <c:pt idx="165">
                  <c:v>-10.621600000000001</c:v>
                </c:pt>
                <c:pt idx="166">
                  <c:v>-10.9148</c:v>
                </c:pt>
                <c:pt idx="167">
                  <c:v>-11.201499999999999</c:v>
                </c:pt>
                <c:pt idx="168">
                  <c:v>-11.4824</c:v>
                </c:pt>
                <c:pt idx="169">
                  <c:v>-11.7591</c:v>
                </c:pt>
                <c:pt idx="170">
                  <c:v>-12.03</c:v>
                </c:pt>
                <c:pt idx="171">
                  <c:v>-12.295999999999999</c:v>
                </c:pt>
                <c:pt idx="172">
                  <c:v>-12.5579</c:v>
                </c:pt>
                <c:pt idx="173">
                  <c:v>-12.8133</c:v>
                </c:pt>
                <c:pt idx="174">
                  <c:v>-13.0625</c:v>
                </c:pt>
                <c:pt idx="175">
                  <c:v>-13.3086</c:v>
                </c:pt>
                <c:pt idx="176">
                  <c:v>-13.549300000000001</c:v>
                </c:pt>
                <c:pt idx="177">
                  <c:v>-13.7844</c:v>
                </c:pt>
                <c:pt idx="178">
                  <c:v>-14.015599999999999</c:v>
                </c:pt>
                <c:pt idx="179">
                  <c:v>-14.2431</c:v>
                </c:pt>
                <c:pt idx="180">
                  <c:v>-14.464700000000001</c:v>
                </c:pt>
                <c:pt idx="181">
                  <c:v>-14.681800000000001</c:v>
                </c:pt>
                <c:pt idx="182">
                  <c:v>-14.8939</c:v>
                </c:pt>
                <c:pt idx="183">
                  <c:v>-15.102499999999999</c:v>
                </c:pt>
                <c:pt idx="184">
                  <c:v>-15.307499999999999</c:v>
                </c:pt>
                <c:pt idx="185">
                  <c:v>-15.508599999999999</c:v>
                </c:pt>
                <c:pt idx="186">
                  <c:v>-15.7052</c:v>
                </c:pt>
                <c:pt idx="187">
                  <c:v>-15.8964</c:v>
                </c:pt>
                <c:pt idx="188">
                  <c:v>-16.0825</c:v>
                </c:pt>
                <c:pt idx="189">
                  <c:v>-16.264500000000002</c:v>
                </c:pt>
                <c:pt idx="190">
                  <c:v>-16.441800000000001</c:v>
                </c:pt>
                <c:pt idx="191">
                  <c:v>-16.613099999999999</c:v>
                </c:pt>
                <c:pt idx="192">
                  <c:v>-16.7803</c:v>
                </c:pt>
                <c:pt idx="193">
                  <c:v>-16.943999999999999</c:v>
                </c:pt>
                <c:pt idx="194">
                  <c:v>-17.104800000000001</c:v>
                </c:pt>
                <c:pt idx="195">
                  <c:v>-17.2624</c:v>
                </c:pt>
                <c:pt idx="196">
                  <c:v>-17.415400000000002</c:v>
                </c:pt>
                <c:pt idx="197">
                  <c:v>-17.560500000000001</c:v>
                </c:pt>
                <c:pt idx="198">
                  <c:v>-17.698599999999999</c:v>
                </c:pt>
                <c:pt idx="199">
                  <c:v>-17.831199999999999</c:v>
                </c:pt>
                <c:pt idx="200">
                  <c:v>-17.458600000000001</c:v>
                </c:pt>
                <c:pt idx="201">
                  <c:v>-17.076699999999999</c:v>
                </c:pt>
                <c:pt idx="202">
                  <c:v>-16.686199999999999</c:v>
                </c:pt>
                <c:pt idx="203">
                  <c:v>-16.291699999999999</c:v>
                </c:pt>
                <c:pt idx="204">
                  <c:v>-15.888400000000001</c:v>
                </c:pt>
                <c:pt idx="205">
                  <c:v>-15.470700000000001</c:v>
                </c:pt>
                <c:pt idx="206">
                  <c:v>-15.0458</c:v>
                </c:pt>
                <c:pt idx="207">
                  <c:v>-14.6073</c:v>
                </c:pt>
                <c:pt idx="208">
                  <c:v>-14.158799999999999</c:v>
                </c:pt>
                <c:pt idx="209">
                  <c:v>-13.7057</c:v>
                </c:pt>
                <c:pt idx="210">
                  <c:v>-13.2448</c:v>
                </c:pt>
                <c:pt idx="211">
                  <c:v>-12.7728</c:v>
                </c:pt>
                <c:pt idx="212">
                  <c:v>-12.292999999999999</c:v>
                </c:pt>
                <c:pt idx="213">
                  <c:v>-11.8011</c:v>
                </c:pt>
                <c:pt idx="214">
                  <c:v>-11.2997</c:v>
                </c:pt>
                <c:pt idx="215">
                  <c:v>-10.788500000000001</c:v>
                </c:pt>
                <c:pt idx="216">
                  <c:v>-10.267099999999999</c:v>
                </c:pt>
                <c:pt idx="217">
                  <c:v>-9.73902</c:v>
                </c:pt>
                <c:pt idx="218">
                  <c:v>-9.2012699999999992</c:v>
                </c:pt>
                <c:pt idx="219">
                  <c:v>-8.6552100000000003</c:v>
                </c:pt>
                <c:pt idx="220">
                  <c:v>-8.0998999999999999</c:v>
                </c:pt>
                <c:pt idx="221">
                  <c:v>-7.5337500000000004</c:v>
                </c:pt>
                <c:pt idx="222">
                  <c:v>-6.9598199999999997</c:v>
                </c:pt>
                <c:pt idx="223">
                  <c:v>-6.3749200000000004</c:v>
                </c:pt>
                <c:pt idx="224">
                  <c:v>-5.7872899999999996</c:v>
                </c:pt>
                <c:pt idx="225">
                  <c:v>-5.1977399999999996</c:v>
                </c:pt>
                <c:pt idx="226">
                  <c:v>-4.6055599999999997</c:v>
                </c:pt>
                <c:pt idx="227">
                  <c:v>-4.0105300000000002</c:v>
                </c:pt>
                <c:pt idx="228">
                  <c:v>-3.4149799999999999</c:v>
                </c:pt>
                <c:pt idx="229">
                  <c:v>-2.8194300000000001</c:v>
                </c:pt>
                <c:pt idx="230">
                  <c:v>-2.2239300000000002</c:v>
                </c:pt>
                <c:pt idx="231">
                  <c:v>-1.62846</c:v>
                </c:pt>
                <c:pt idx="232">
                  <c:v>-1.03302</c:v>
                </c:pt>
                <c:pt idx="233">
                  <c:v>-0.43759900000000002</c:v>
                </c:pt>
                <c:pt idx="234">
                  <c:v>0.15779499999999999</c:v>
                </c:pt>
                <c:pt idx="235">
                  <c:v>0.75315299999999996</c:v>
                </c:pt>
                <c:pt idx="236">
                  <c:v>1.34846</c:v>
                </c:pt>
                <c:pt idx="237">
                  <c:v>1.9437</c:v>
                </c:pt>
                <c:pt idx="238">
                  <c:v>2.5388700000000002</c:v>
                </c:pt>
                <c:pt idx="239">
                  <c:v>3.1339899999999998</c:v>
                </c:pt>
                <c:pt idx="240">
                  <c:v>3.72906</c:v>
                </c:pt>
                <c:pt idx="241">
                  <c:v>4.3240800000000004</c:v>
                </c:pt>
                <c:pt idx="242">
                  <c:v>4.9190100000000001</c:v>
                </c:pt>
                <c:pt idx="243">
                  <c:v>5.5138699999999998</c:v>
                </c:pt>
                <c:pt idx="244">
                  <c:v>6.1085500000000001</c:v>
                </c:pt>
                <c:pt idx="245">
                  <c:v>6.7030399999999997</c:v>
                </c:pt>
                <c:pt idx="246">
                  <c:v>7.2972900000000003</c:v>
                </c:pt>
                <c:pt idx="247">
                  <c:v>7.8912100000000001</c:v>
                </c:pt>
                <c:pt idx="248">
                  <c:v>8.4847800000000007</c:v>
                </c:pt>
                <c:pt idx="249">
                  <c:v>9.0778999999999996</c:v>
                </c:pt>
                <c:pt idx="250">
                  <c:v>9.6703299999999999</c:v>
                </c:pt>
                <c:pt idx="251">
                  <c:v>10.2597</c:v>
                </c:pt>
                <c:pt idx="252">
                  <c:v>10.8452</c:v>
                </c:pt>
                <c:pt idx="253">
                  <c:v>11.428000000000001</c:v>
                </c:pt>
                <c:pt idx="254">
                  <c:v>12.007899999999999</c:v>
                </c:pt>
                <c:pt idx="255">
                  <c:v>12.582700000000001</c:v>
                </c:pt>
                <c:pt idx="256">
                  <c:v>13.1502</c:v>
                </c:pt>
                <c:pt idx="257">
                  <c:v>13.707700000000001</c:v>
                </c:pt>
                <c:pt idx="258">
                  <c:v>14.246</c:v>
                </c:pt>
                <c:pt idx="259">
                  <c:v>14.7536</c:v>
                </c:pt>
                <c:pt idx="260">
                  <c:v>15.226100000000001</c:v>
                </c:pt>
                <c:pt idx="261">
                  <c:v>15.647</c:v>
                </c:pt>
                <c:pt idx="262">
                  <c:v>15.917299999999999</c:v>
                </c:pt>
                <c:pt idx="263">
                  <c:v>16.102599999999999</c:v>
                </c:pt>
                <c:pt idx="264">
                  <c:v>16.266500000000001</c:v>
                </c:pt>
                <c:pt idx="265">
                  <c:v>16.410299999999999</c:v>
                </c:pt>
                <c:pt idx="266">
                  <c:v>16.5367</c:v>
                </c:pt>
                <c:pt idx="267">
                  <c:v>16.648700000000002</c:v>
                </c:pt>
                <c:pt idx="268">
                  <c:v>16.721800000000002</c:v>
                </c:pt>
                <c:pt idx="269">
                  <c:v>16.776499999999999</c:v>
                </c:pt>
                <c:pt idx="270">
                  <c:v>16.814</c:v>
                </c:pt>
                <c:pt idx="271">
                  <c:v>16.8371</c:v>
                </c:pt>
                <c:pt idx="272">
                  <c:v>16.848500000000001</c:v>
                </c:pt>
                <c:pt idx="273">
                  <c:v>16.8431</c:v>
                </c:pt>
                <c:pt idx="274">
                  <c:v>16.827200000000001</c:v>
                </c:pt>
                <c:pt idx="275">
                  <c:v>16.799299999999999</c:v>
                </c:pt>
                <c:pt idx="276">
                  <c:v>16.761299999999999</c:v>
                </c:pt>
                <c:pt idx="277">
                  <c:v>16.7135</c:v>
                </c:pt>
                <c:pt idx="278">
                  <c:v>16.656300000000002</c:v>
                </c:pt>
                <c:pt idx="279">
                  <c:v>16.591699999999999</c:v>
                </c:pt>
                <c:pt idx="280">
                  <c:v>16.5199</c:v>
                </c:pt>
                <c:pt idx="281">
                  <c:v>16.440200000000001</c:v>
                </c:pt>
                <c:pt idx="282">
                  <c:v>16.3523</c:v>
                </c:pt>
                <c:pt idx="283">
                  <c:v>16.257999999999999</c:v>
                </c:pt>
                <c:pt idx="284">
                  <c:v>16.151399999999999</c:v>
                </c:pt>
                <c:pt idx="285">
                  <c:v>16.035499999999999</c:v>
                </c:pt>
                <c:pt idx="286">
                  <c:v>15.9137</c:v>
                </c:pt>
                <c:pt idx="287">
                  <c:v>15.784800000000001</c:v>
                </c:pt>
                <c:pt idx="288">
                  <c:v>15.6502</c:v>
                </c:pt>
                <c:pt idx="289">
                  <c:v>15.510400000000001</c:v>
                </c:pt>
                <c:pt idx="290">
                  <c:v>15.3668</c:v>
                </c:pt>
                <c:pt idx="291">
                  <c:v>15.22</c:v>
                </c:pt>
                <c:pt idx="292">
                  <c:v>15.0693</c:v>
                </c:pt>
                <c:pt idx="293">
                  <c:v>14.914999999999999</c:v>
                </c:pt>
                <c:pt idx="294">
                  <c:v>14.7563</c:v>
                </c:pt>
                <c:pt idx="295">
                  <c:v>14.5938</c:v>
                </c:pt>
                <c:pt idx="296">
                  <c:v>14.427899999999999</c:v>
                </c:pt>
                <c:pt idx="297">
                  <c:v>14.258900000000001</c:v>
                </c:pt>
                <c:pt idx="298">
                  <c:v>14.086399999999999</c:v>
                </c:pt>
                <c:pt idx="299">
                  <c:v>13.910600000000001</c:v>
                </c:pt>
                <c:pt idx="300">
                  <c:v>13.441800000000001</c:v>
                </c:pt>
                <c:pt idx="301">
                  <c:v>12.9709</c:v>
                </c:pt>
                <c:pt idx="302">
                  <c:v>12.4878</c:v>
                </c:pt>
                <c:pt idx="303">
                  <c:v>11.998799999999999</c:v>
                </c:pt>
                <c:pt idx="304">
                  <c:v>11.508800000000001</c:v>
                </c:pt>
                <c:pt idx="305">
                  <c:v>11.0181</c:v>
                </c:pt>
                <c:pt idx="306">
                  <c:v>10.5261</c:v>
                </c:pt>
                <c:pt idx="307">
                  <c:v>10.024800000000001</c:v>
                </c:pt>
                <c:pt idx="308">
                  <c:v>9.5144400000000005</c:v>
                </c:pt>
                <c:pt idx="309">
                  <c:v>8.9991199999999996</c:v>
                </c:pt>
                <c:pt idx="310">
                  <c:v>8.4725999999999999</c:v>
                </c:pt>
                <c:pt idx="311">
                  <c:v>7.9420599999999997</c:v>
                </c:pt>
                <c:pt idx="312">
                  <c:v>7.4109299999999996</c:v>
                </c:pt>
                <c:pt idx="313">
                  <c:v>6.8787799999999999</c:v>
                </c:pt>
                <c:pt idx="314">
                  <c:v>6.3385800000000003</c:v>
                </c:pt>
                <c:pt idx="315">
                  <c:v>5.7873200000000002</c:v>
                </c:pt>
                <c:pt idx="316">
                  <c:v>5.2296199999999997</c:v>
                </c:pt>
                <c:pt idx="317">
                  <c:v>4.6607900000000004</c:v>
                </c:pt>
                <c:pt idx="318">
                  <c:v>4.0908300000000004</c:v>
                </c:pt>
                <c:pt idx="319">
                  <c:v>3.5211399999999999</c:v>
                </c:pt>
                <c:pt idx="320">
                  <c:v>2.94625</c:v>
                </c:pt>
                <c:pt idx="321">
                  <c:v>2.3593199999999999</c:v>
                </c:pt>
                <c:pt idx="322">
                  <c:v>1.7646299999999999</c:v>
                </c:pt>
                <c:pt idx="323">
                  <c:v>1.1587000000000001</c:v>
                </c:pt>
                <c:pt idx="324">
                  <c:v>0.55241200000000001</c:v>
                </c:pt>
                <c:pt idx="325">
                  <c:v>-5.3778600000000003E-2</c:v>
                </c:pt>
                <c:pt idx="326">
                  <c:v>-0.66208800000000001</c:v>
                </c:pt>
                <c:pt idx="327">
                  <c:v>-1.27254</c:v>
                </c:pt>
                <c:pt idx="328">
                  <c:v>-1.8866099999999999</c:v>
                </c:pt>
                <c:pt idx="329">
                  <c:v>-2.5012799999999999</c:v>
                </c:pt>
                <c:pt idx="330">
                  <c:v>-3.1158999999999999</c:v>
                </c:pt>
                <c:pt idx="331">
                  <c:v>-3.73047</c:v>
                </c:pt>
                <c:pt idx="332">
                  <c:v>-4.3446400000000001</c:v>
                </c:pt>
                <c:pt idx="333">
                  <c:v>-4.95845</c:v>
                </c:pt>
                <c:pt idx="334">
                  <c:v>-5.5717699999999999</c:v>
                </c:pt>
                <c:pt idx="335">
                  <c:v>-6.1845800000000004</c:v>
                </c:pt>
                <c:pt idx="336">
                  <c:v>-6.7950400000000002</c:v>
                </c:pt>
                <c:pt idx="337">
                  <c:v>-7.4031000000000002</c:v>
                </c:pt>
                <c:pt idx="338">
                  <c:v>-8.0085999999999995</c:v>
                </c:pt>
                <c:pt idx="339">
                  <c:v>-8.6112900000000003</c:v>
                </c:pt>
                <c:pt idx="340">
                  <c:v>-9.2117799999999992</c:v>
                </c:pt>
                <c:pt idx="341">
                  <c:v>-9.8090899999999994</c:v>
                </c:pt>
                <c:pt idx="342">
                  <c:v>-10.397</c:v>
                </c:pt>
                <c:pt idx="343">
                  <c:v>-10.975899999999999</c:v>
                </c:pt>
                <c:pt idx="344">
                  <c:v>-11.5443</c:v>
                </c:pt>
                <c:pt idx="345">
                  <c:v>-12.1022</c:v>
                </c:pt>
                <c:pt idx="346">
                  <c:v>-12.6487</c:v>
                </c:pt>
                <c:pt idx="347">
                  <c:v>-13.179399999999999</c:v>
                </c:pt>
                <c:pt idx="348">
                  <c:v>-13.698399999999999</c:v>
                </c:pt>
                <c:pt idx="349">
                  <c:v>-14.2066</c:v>
                </c:pt>
                <c:pt idx="350">
                  <c:v>-14.7052</c:v>
                </c:pt>
                <c:pt idx="351">
                  <c:v>-15.193</c:v>
                </c:pt>
                <c:pt idx="352">
                  <c:v>-15.671099999999999</c:v>
                </c:pt>
                <c:pt idx="353">
                  <c:v>-16.139800000000001</c:v>
                </c:pt>
                <c:pt idx="354">
                  <c:v>-16.597799999999999</c:v>
                </c:pt>
                <c:pt idx="355">
                  <c:v>-17.046500000000002</c:v>
                </c:pt>
                <c:pt idx="356">
                  <c:v>-17.482299999999999</c:v>
                </c:pt>
                <c:pt idx="357">
                  <c:v>-17.887799999999999</c:v>
                </c:pt>
                <c:pt idx="358">
                  <c:v>-18.233000000000001</c:v>
                </c:pt>
                <c:pt idx="359">
                  <c:v>-18.5657</c:v>
                </c:pt>
                <c:pt idx="360">
                  <c:v>-18.877800000000001</c:v>
                </c:pt>
                <c:pt idx="361">
                  <c:v>-19.177399999999999</c:v>
                </c:pt>
                <c:pt idx="362">
                  <c:v>-19.4635</c:v>
                </c:pt>
                <c:pt idx="363">
                  <c:v>-19.721599999999999</c:v>
                </c:pt>
                <c:pt idx="364">
                  <c:v>-19.922699999999999</c:v>
                </c:pt>
                <c:pt idx="365">
                  <c:v>-20.060199999999998</c:v>
                </c:pt>
                <c:pt idx="366">
                  <c:v>-20.171199999999999</c:v>
                </c:pt>
                <c:pt idx="367">
                  <c:v>-20.253</c:v>
                </c:pt>
                <c:pt idx="368">
                  <c:v>-20.264099999999999</c:v>
                </c:pt>
                <c:pt idx="369">
                  <c:v>-20.244499999999999</c:v>
                </c:pt>
                <c:pt idx="370">
                  <c:v>-20.200199999999999</c:v>
                </c:pt>
                <c:pt idx="371">
                  <c:v>-20.135300000000001</c:v>
                </c:pt>
                <c:pt idx="372">
                  <c:v>-20.045200000000001</c:v>
                </c:pt>
                <c:pt idx="373">
                  <c:v>-19.945799999999998</c:v>
                </c:pt>
                <c:pt idx="374">
                  <c:v>-19.8429</c:v>
                </c:pt>
                <c:pt idx="375">
                  <c:v>-19.736499999999999</c:v>
                </c:pt>
                <c:pt idx="376">
                  <c:v>-19.6282</c:v>
                </c:pt>
                <c:pt idx="377">
                  <c:v>-19.514099999999999</c:v>
                </c:pt>
                <c:pt idx="378">
                  <c:v>-19.394600000000001</c:v>
                </c:pt>
                <c:pt idx="379">
                  <c:v>-19.270099999999999</c:v>
                </c:pt>
                <c:pt idx="380">
                  <c:v>-19.135000000000002</c:v>
                </c:pt>
                <c:pt idx="381">
                  <c:v>-18.9847</c:v>
                </c:pt>
                <c:pt idx="382">
                  <c:v>-18.812799999999999</c:v>
                </c:pt>
                <c:pt idx="383">
                  <c:v>-18.623799999999999</c:v>
                </c:pt>
                <c:pt idx="384">
                  <c:v>-18.414899999999999</c:v>
                </c:pt>
                <c:pt idx="385">
                  <c:v>-18.1782</c:v>
                </c:pt>
                <c:pt idx="386">
                  <c:v>-17.913499999999999</c:v>
                </c:pt>
                <c:pt idx="387">
                  <c:v>-17.623200000000001</c:v>
                </c:pt>
                <c:pt idx="388">
                  <c:v>-17.326699999999999</c:v>
                </c:pt>
                <c:pt idx="389">
                  <c:v>-17.020199999999999</c:v>
                </c:pt>
                <c:pt idx="390">
                  <c:v>-16.667999999999999</c:v>
                </c:pt>
                <c:pt idx="391">
                  <c:v>-16.279</c:v>
                </c:pt>
                <c:pt idx="392">
                  <c:v>-15.8292</c:v>
                </c:pt>
                <c:pt idx="393">
                  <c:v>-15.354100000000001</c:v>
                </c:pt>
                <c:pt idx="394">
                  <c:v>-14.811500000000001</c:v>
                </c:pt>
                <c:pt idx="395">
                  <c:v>-14.158099999999999</c:v>
                </c:pt>
                <c:pt idx="396">
                  <c:v>-13.4373</c:v>
                </c:pt>
                <c:pt idx="397">
                  <c:v>-12.6584</c:v>
                </c:pt>
                <c:pt idx="398">
                  <c:v>-11.86</c:v>
                </c:pt>
                <c:pt idx="399">
                  <c:v>-11.141999999999999</c:v>
                </c:pt>
                <c:pt idx="400">
                  <c:v>-10.722</c:v>
                </c:pt>
                <c:pt idx="401">
                  <c:v>-10.2997</c:v>
                </c:pt>
                <c:pt idx="402">
                  <c:v>-9.8729200000000006</c:v>
                </c:pt>
                <c:pt idx="403">
                  <c:v>-9.4443599999999996</c:v>
                </c:pt>
                <c:pt idx="404">
                  <c:v>-9.0166299999999993</c:v>
                </c:pt>
                <c:pt idx="405">
                  <c:v>-8.5889199999999999</c:v>
                </c:pt>
                <c:pt idx="406">
                  <c:v>-8.1587800000000001</c:v>
                </c:pt>
                <c:pt idx="407">
                  <c:v>-7.7260200000000001</c:v>
                </c:pt>
                <c:pt idx="408">
                  <c:v>-7.2883500000000003</c:v>
                </c:pt>
                <c:pt idx="409">
                  <c:v>-6.8493000000000004</c:v>
                </c:pt>
                <c:pt idx="410">
                  <c:v>-6.4092000000000002</c:v>
                </c:pt>
                <c:pt idx="411">
                  <c:v>-5.9679599999999997</c:v>
                </c:pt>
                <c:pt idx="412">
                  <c:v>-5.5252400000000002</c:v>
                </c:pt>
                <c:pt idx="413">
                  <c:v>-5.0806100000000001</c:v>
                </c:pt>
                <c:pt idx="414">
                  <c:v>-4.6361299999999996</c:v>
                </c:pt>
                <c:pt idx="415">
                  <c:v>-4.19278</c:v>
                </c:pt>
                <c:pt idx="416">
                  <c:v>-3.74607</c:v>
                </c:pt>
                <c:pt idx="417">
                  <c:v>-3.29678</c:v>
                </c:pt>
                <c:pt idx="418">
                  <c:v>-2.8457400000000002</c:v>
                </c:pt>
                <c:pt idx="419">
                  <c:v>-2.3938100000000002</c:v>
                </c:pt>
                <c:pt idx="420">
                  <c:v>-1.9405399999999999</c:v>
                </c:pt>
                <c:pt idx="421">
                  <c:v>-1.4855100000000001</c:v>
                </c:pt>
                <c:pt idx="422">
                  <c:v>-1.03139</c:v>
                </c:pt>
                <c:pt idx="423">
                  <c:v>-0.57701599999999997</c:v>
                </c:pt>
                <c:pt idx="424">
                  <c:v>-0.118822</c:v>
                </c:pt>
                <c:pt idx="425">
                  <c:v>0.33927600000000002</c:v>
                </c:pt>
                <c:pt idx="426">
                  <c:v>0.79843900000000001</c:v>
                </c:pt>
                <c:pt idx="427">
                  <c:v>1.2637799999999999</c:v>
                </c:pt>
                <c:pt idx="428">
                  <c:v>1.7291300000000001</c:v>
                </c:pt>
                <c:pt idx="429">
                  <c:v>2.1979099999999998</c:v>
                </c:pt>
                <c:pt idx="430">
                  <c:v>2.6731099999999999</c:v>
                </c:pt>
                <c:pt idx="431">
                  <c:v>3.1449099999999999</c:v>
                </c:pt>
                <c:pt idx="432">
                  <c:v>3.6143700000000001</c:v>
                </c:pt>
                <c:pt idx="433">
                  <c:v>4.08263</c:v>
                </c:pt>
                <c:pt idx="434">
                  <c:v>4.5500400000000001</c:v>
                </c:pt>
                <c:pt idx="435">
                  <c:v>5.0130699999999999</c:v>
                </c:pt>
                <c:pt idx="436">
                  <c:v>5.4591500000000002</c:v>
                </c:pt>
                <c:pt idx="437">
                  <c:v>5.8557199999999998</c:v>
                </c:pt>
                <c:pt idx="438">
                  <c:v>6.2304500000000003</c:v>
                </c:pt>
                <c:pt idx="439">
                  <c:v>6.5635899999999996</c:v>
                </c:pt>
                <c:pt idx="440">
                  <c:v>6.8764399999999997</c:v>
                </c:pt>
                <c:pt idx="441">
                  <c:v>7.1791</c:v>
                </c:pt>
                <c:pt idx="442">
                  <c:v>7.4574999999999996</c:v>
                </c:pt>
                <c:pt idx="443">
                  <c:v>7.71835</c:v>
                </c:pt>
                <c:pt idx="444">
                  <c:v>7.9506800000000002</c:v>
                </c:pt>
                <c:pt idx="445">
                  <c:v>8.1553900000000006</c:v>
                </c:pt>
                <c:pt idx="446">
                  <c:v>8.3108299999999993</c:v>
                </c:pt>
                <c:pt idx="447">
                  <c:v>8.4132999999999996</c:v>
                </c:pt>
                <c:pt idx="448">
                  <c:v>8.4455399999999994</c:v>
                </c:pt>
                <c:pt idx="449">
                  <c:v>8.3839699999999997</c:v>
                </c:pt>
                <c:pt idx="450">
                  <c:v>8.2030200000000004</c:v>
                </c:pt>
                <c:pt idx="451">
                  <c:v>7.8648100000000003</c:v>
                </c:pt>
                <c:pt idx="452">
                  <c:v>7.5069600000000003</c:v>
                </c:pt>
                <c:pt idx="453">
                  <c:v>7.1409799999999999</c:v>
                </c:pt>
                <c:pt idx="454">
                  <c:v>6.7773700000000003</c:v>
                </c:pt>
                <c:pt idx="455">
                  <c:v>6.3967799999999997</c:v>
                </c:pt>
                <c:pt idx="456">
                  <c:v>5.9951600000000003</c:v>
                </c:pt>
                <c:pt idx="457">
                  <c:v>5.5585199999999997</c:v>
                </c:pt>
                <c:pt idx="458">
                  <c:v>5.1575600000000001</c:v>
                </c:pt>
                <c:pt idx="459">
                  <c:v>4.8053400000000002</c:v>
                </c:pt>
                <c:pt idx="460">
                  <c:v>4.4666199999999998</c:v>
                </c:pt>
                <c:pt idx="461">
                  <c:v>4.1395999999999997</c:v>
                </c:pt>
                <c:pt idx="462">
                  <c:v>3.85331</c:v>
                </c:pt>
                <c:pt idx="463">
                  <c:v>3.6247500000000001</c:v>
                </c:pt>
                <c:pt idx="464">
                  <c:v>3.43899</c:v>
                </c:pt>
                <c:pt idx="465">
                  <c:v>3.2843399999999998</c:v>
                </c:pt>
                <c:pt idx="466">
                  <c:v>3.1514700000000002</c:v>
                </c:pt>
                <c:pt idx="467">
                  <c:v>3.0403799999999999</c:v>
                </c:pt>
                <c:pt idx="468">
                  <c:v>2.94495</c:v>
                </c:pt>
                <c:pt idx="469">
                  <c:v>2.8611599999999999</c:v>
                </c:pt>
                <c:pt idx="470">
                  <c:v>2.7875800000000002</c:v>
                </c:pt>
                <c:pt idx="471">
                  <c:v>2.72383</c:v>
                </c:pt>
                <c:pt idx="472">
                  <c:v>2.66648</c:v>
                </c:pt>
                <c:pt idx="473">
                  <c:v>2.6160899999999998</c:v>
                </c:pt>
                <c:pt idx="474">
                  <c:v>2.5701800000000001</c:v>
                </c:pt>
                <c:pt idx="475">
                  <c:v>2.5295100000000001</c:v>
                </c:pt>
                <c:pt idx="476">
                  <c:v>2.4924599999999999</c:v>
                </c:pt>
                <c:pt idx="477">
                  <c:v>2.4569100000000001</c:v>
                </c:pt>
                <c:pt idx="478">
                  <c:v>2.42299</c:v>
                </c:pt>
                <c:pt idx="479">
                  <c:v>2.3913600000000002</c:v>
                </c:pt>
                <c:pt idx="480">
                  <c:v>2.3616999999999999</c:v>
                </c:pt>
                <c:pt idx="481">
                  <c:v>2.3344299999999998</c:v>
                </c:pt>
                <c:pt idx="482">
                  <c:v>2.30904</c:v>
                </c:pt>
                <c:pt idx="483">
                  <c:v>2.28417</c:v>
                </c:pt>
                <c:pt idx="484">
                  <c:v>2.25915</c:v>
                </c:pt>
                <c:pt idx="485">
                  <c:v>2.2349199999999998</c:v>
                </c:pt>
                <c:pt idx="486">
                  <c:v>2.2118099999999998</c:v>
                </c:pt>
                <c:pt idx="487">
                  <c:v>2.1905700000000001</c:v>
                </c:pt>
                <c:pt idx="488">
                  <c:v>2.1705800000000002</c:v>
                </c:pt>
                <c:pt idx="489">
                  <c:v>2.15123</c:v>
                </c:pt>
                <c:pt idx="490">
                  <c:v>2.1330200000000001</c:v>
                </c:pt>
                <c:pt idx="491">
                  <c:v>2.1156199999999998</c:v>
                </c:pt>
                <c:pt idx="492">
                  <c:v>2.0992199999999999</c:v>
                </c:pt>
                <c:pt idx="493">
                  <c:v>2.0840800000000002</c:v>
                </c:pt>
                <c:pt idx="494">
                  <c:v>2.0694499999999998</c:v>
                </c:pt>
                <c:pt idx="495">
                  <c:v>2.05511</c:v>
                </c:pt>
                <c:pt idx="496">
                  <c:v>2.0413399999999999</c:v>
                </c:pt>
                <c:pt idx="497">
                  <c:v>2.0287199999999999</c:v>
                </c:pt>
                <c:pt idx="498">
                  <c:v>2.0174500000000002</c:v>
                </c:pt>
                <c:pt idx="499">
                  <c:v>2.00657</c:v>
                </c:pt>
                <c:pt idx="500">
                  <c:v>1.6353</c:v>
                </c:pt>
                <c:pt idx="501">
                  <c:v>1.27155</c:v>
                </c:pt>
                <c:pt idx="502">
                  <c:v>0.90888899999999995</c:v>
                </c:pt>
                <c:pt idx="503">
                  <c:v>0.55009699999999995</c:v>
                </c:pt>
                <c:pt idx="504">
                  <c:v>0.204905</c:v>
                </c:pt>
                <c:pt idx="505">
                  <c:v>-0.12859400000000001</c:v>
                </c:pt>
                <c:pt idx="506">
                  <c:v>-0.46016400000000002</c:v>
                </c:pt>
                <c:pt idx="507">
                  <c:v>-0.79000499999999996</c:v>
                </c:pt>
                <c:pt idx="508">
                  <c:v>-1.1128899999999999</c:v>
                </c:pt>
                <c:pt idx="509">
                  <c:v>-1.4136200000000001</c:v>
                </c:pt>
                <c:pt idx="510">
                  <c:v>-1.7016899999999999</c:v>
                </c:pt>
                <c:pt idx="511">
                  <c:v>-1.9736800000000001</c:v>
                </c:pt>
                <c:pt idx="512">
                  <c:v>-2.21983</c:v>
                </c:pt>
                <c:pt idx="513">
                  <c:v>-2.4602200000000001</c:v>
                </c:pt>
                <c:pt idx="514">
                  <c:v>-2.6598700000000002</c:v>
                </c:pt>
                <c:pt idx="515">
                  <c:v>-2.6808100000000001</c:v>
                </c:pt>
                <c:pt idx="516">
                  <c:v>-2.5634199999999998</c:v>
                </c:pt>
                <c:pt idx="517">
                  <c:v>-2.44381</c:v>
                </c:pt>
                <c:pt idx="518">
                  <c:v>-2.3670300000000002</c:v>
                </c:pt>
                <c:pt idx="519">
                  <c:v>-2.3348</c:v>
                </c:pt>
                <c:pt idx="520">
                  <c:v>-2.3448199999999999</c:v>
                </c:pt>
                <c:pt idx="521">
                  <c:v>-2.3717000000000001</c:v>
                </c:pt>
                <c:pt idx="522">
                  <c:v>-2.3982299999999999</c:v>
                </c:pt>
                <c:pt idx="523">
                  <c:v>-2.4192999999999998</c:v>
                </c:pt>
                <c:pt idx="524">
                  <c:v>-2.4369200000000002</c:v>
                </c:pt>
                <c:pt idx="525">
                  <c:v>-2.4533</c:v>
                </c:pt>
                <c:pt idx="526">
                  <c:v>-2.4684499999999998</c:v>
                </c:pt>
                <c:pt idx="527">
                  <c:v>-2.48251</c:v>
                </c:pt>
                <c:pt idx="528">
                  <c:v>-2.49593</c:v>
                </c:pt>
                <c:pt idx="529">
                  <c:v>-2.5093399999999999</c:v>
                </c:pt>
                <c:pt idx="530">
                  <c:v>-2.5222199999999999</c:v>
                </c:pt>
                <c:pt idx="531">
                  <c:v>-2.5344099999999998</c:v>
                </c:pt>
                <c:pt idx="532">
                  <c:v>-2.5464799999999999</c:v>
                </c:pt>
                <c:pt idx="533">
                  <c:v>-2.5580500000000002</c:v>
                </c:pt>
                <c:pt idx="534">
                  <c:v>-2.56914</c:v>
                </c:pt>
                <c:pt idx="535">
                  <c:v>-2.5807699999999998</c:v>
                </c:pt>
                <c:pt idx="536">
                  <c:v>-2.5925799999999999</c:v>
                </c:pt>
                <c:pt idx="537">
                  <c:v>-2.6046399999999998</c:v>
                </c:pt>
                <c:pt idx="538">
                  <c:v>-2.6156700000000002</c:v>
                </c:pt>
                <c:pt idx="539">
                  <c:v>-2.62649</c:v>
                </c:pt>
                <c:pt idx="540">
                  <c:v>-2.63687</c:v>
                </c:pt>
                <c:pt idx="541">
                  <c:v>-2.6451899999999999</c:v>
                </c:pt>
                <c:pt idx="542">
                  <c:v>-2.6530100000000001</c:v>
                </c:pt>
                <c:pt idx="543">
                  <c:v>-2.6593499999999999</c:v>
                </c:pt>
                <c:pt idx="544">
                  <c:v>-2.6620699999999999</c:v>
                </c:pt>
                <c:pt idx="545">
                  <c:v>-2.6631300000000002</c:v>
                </c:pt>
                <c:pt idx="546">
                  <c:v>-2.6606200000000002</c:v>
                </c:pt>
                <c:pt idx="547">
                  <c:v>-2.6564000000000001</c:v>
                </c:pt>
                <c:pt idx="548">
                  <c:v>-2.6476500000000001</c:v>
                </c:pt>
                <c:pt idx="549">
                  <c:v>-2.6372800000000001</c:v>
                </c:pt>
                <c:pt idx="550">
                  <c:v>-2.62486</c:v>
                </c:pt>
                <c:pt idx="551">
                  <c:v>-2.6000700000000001</c:v>
                </c:pt>
                <c:pt idx="552">
                  <c:v>-2.5516200000000002</c:v>
                </c:pt>
                <c:pt idx="553">
                  <c:v>-2.4613299999999998</c:v>
                </c:pt>
                <c:pt idx="554">
                  <c:v>-2.37168</c:v>
                </c:pt>
                <c:pt idx="555">
                  <c:v>-2.31284</c:v>
                </c:pt>
                <c:pt idx="556">
                  <c:v>-2.2761499999999999</c:v>
                </c:pt>
                <c:pt idx="557">
                  <c:v>-2.2543299999999999</c:v>
                </c:pt>
                <c:pt idx="558">
                  <c:v>-2.2400600000000002</c:v>
                </c:pt>
                <c:pt idx="559">
                  <c:v>-2.2320500000000001</c:v>
                </c:pt>
                <c:pt idx="560">
                  <c:v>-2.2303799999999998</c:v>
                </c:pt>
                <c:pt idx="561">
                  <c:v>-2.2341600000000001</c:v>
                </c:pt>
                <c:pt idx="562">
                  <c:v>-2.24281</c:v>
                </c:pt>
                <c:pt idx="563">
                  <c:v>-2.2546499999999998</c:v>
                </c:pt>
                <c:pt idx="564">
                  <c:v>-2.2680199999999999</c:v>
                </c:pt>
                <c:pt idx="565">
                  <c:v>-2.2806899999999999</c:v>
                </c:pt>
                <c:pt idx="566">
                  <c:v>-2.2936000000000001</c:v>
                </c:pt>
                <c:pt idx="567">
                  <c:v>-2.3065000000000002</c:v>
                </c:pt>
                <c:pt idx="568">
                  <c:v>-2.3189000000000002</c:v>
                </c:pt>
                <c:pt idx="569">
                  <c:v>-2.3280599999999998</c:v>
                </c:pt>
                <c:pt idx="570">
                  <c:v>-2.3363700000000001</c:v>
                </c:pt>
                <c:pt idx="571">
                  <c:v>-2.3421400000000001</c:v>
                </c:pt>
                <c:pt idx="572">
                  <c:v>-2.3475000000000001</c:v>
                </c:pt>
                <c:pt idx="573">
                  <c:v>-2.3527300000000002</c:v>
                </c:pt>
                <c:pt idx="574">
                  <c:v>-2.35785</c:v>
                </c:pt>
                <c:pt idx="575">
                  <c:v>-2.3622800000000002</c:v>
                </c:pt>
                <c:pt idx="576">
                  <c:v>-2.3652899999999999</c:v>
                </c:pt>
                <c:pt idx="577">
                  <c:v>-2.3681800000000002</c:v>
                </c:pt>
                <c:pt idx="578">
                  <c:v>-2.3710100000000001</c:v>
                </c:pt>
                <c:pt idx="579">
                  <c:v>-2.3737900000000001</c:v>
                </c:pt>
                <c:pt idx="580">
                  <c:v>-2.3765499999999999</c:v>
                </c:pt>
                <c:pt idx="581">
                  <c:v>-2.3792800000000001</c:v>
                </c:pt>
                <c:pt idx="582">
                  <c:v>-2.3818800000000002</c:v>
                </c:pt>
                <c:pt idx="583">
                  <c:v>-2.3843899999999998</c:v>
                </c:pt>
                <c:pt idx="584">
                  <c:v>-2.3868800000000001</c:v>
                </c:pt>
                <c:pt idx="585">
                  <c:v>-2.3893399999999998</c:v>
                </c:pt>
                <c:pt idx="586">
                  <c:v>-2.3917600000000001</c:v>
                </c:pt>
                <c:pt idx="587">
                  <c:v>-2.39418</c:v>
                </c:pt>
                <c:pt idx="588">
                  <c:v>-2.3965999999999998</c:v>
                </c:pt>
                <c:pt idx="589">
                  <c:v>-2.399</c:v>
                </c:pt>
                <c:pt idx="590">
                  <c:v>-2.4013900000000001</c:v>
                </c:pt>
                <c:pt idx="591">
                  <c:v>-2.4037799999999998</c:v>
                </c:pt>
                <c:pt idx="592">
                  <c:v>-2.4061599999999999</c:v>
                </c:pt>
                <c:pt idx="593">
                  <c:v>-2.4085100000000002</c:v>
                </c:pt>
                <c:pt idx="594">
                  <c:v>-2.4106999999999998</c:v>
                </c:pt>
                <c:pt idx="595">
                  <c:v>-2.41275</c:v>
                </c:pt>
                <c:pt idx="596">
                  <c:v>-2.4147799999999999</c:v>
                </c:pt>
                <c:pt idx="597">
                  <c:v>-2.4167999999999998</c:v>
                </c:pt>
                <c:pt idx="598">
                  <c:v>-2.41879</c:v>
                </c:pt>
                <c:pt idx="599">
                  <c:v>-2.42075</c:v>
                </c:pt>
                <c:pt idx="600">
                  <c:v>-2.1727799999999999</c:v>
                </c:pt>
                <c:pt idx="601">
                  <c:v>-1.92862</c:v>
                </c:pt>
                <c:pt idx="602">
                  <c:v>-1.6890000000000001</c:v>
                </c:pt>
                <c:pt idx="603">
                  <c:v>-1.4508099999999999</c:v>
                </c:pt>
                <c:pt idx="604">
                  <c:v>-1.2135</c:v>
                </c:pt>
                <c:pt idx="605">
                  <c:v>-0.97846900000000003</c:v>
                </c:pt>
                <c:pt idx="606">
                  <c:v>-0.74602299999999999</c:v>
                </c:pt>
                <c:pt idx="607">
                  <c:v>-0.51663000000000003</c:v>
                </c:pt>
                <c:pt idx="608">
                  <c:v>-0.28950999999999999</c:v>
                </c:pt>
                <c:pt idx="609">
                  <c:v>-6.3201800000000002E-2</c:v>
                </c:pt>
                <c:pt idx="610">
                  <c:v>0.15964500000000001</c:v>
                </c:pt>
                <c:pt idx="611">
                  <c:v>0.37986300000000001</c:v>
                </c:pt>
                <c:pt idx="612">
                  <c:v>0.595549</c:v>
                </c:pt>
                <c:pt idx="613">
                  <c:v>0.81018999999999997</c:v>
                </c:pt>
                <c:pt idx="614">
                  <c:v>1.02189</c:v>
                </c:pt>
                <c:pt idx="615">
                  <c:v>1.22824</c:v>
                </c:pt>
                <c:pt idx="616">
                  <c:v>1.4142399999999999</c:v>
                </c:pt>
                <c:pt idx="617">
                  <c:v>1.5152000000000001</c:v>
                </c:pt>
                <c:pt idx="618">
                  <c:v>1.53931</c:v>
                </c:pt>
                <c:pt idx="619">
                  <c:v>1.55135</c:v>
                </c:pt>
                <c:pt idx="620">
                  <c:v>1.5612699999999999</c:v>
                </c:pt>
                <c:pt idx="621">
                  <c:v>1.5680700000000001</c:v>
                </c:pt>
                <c:pt idx="622">
                  <c:v>1.5733699999999999</c:v>
                </c:pt>
                <c:pt idx="623">
                  <c:v>1.57778</c:v>
                </c:pt>
                <c:pt idx="624">
                  <c:v>1.58124</c:v>
                </c:pt>
                <c:pt idx="625">
                  <c:v>1.5844199999999999</c:v>
                </c:pt>
                <c:pt idx="626">
                  <c:v>1.5872200000000001</c:v>
                </c:pt>
                <c:pt idx="627">
                  <c:v>1.5899300000000001</c:v>
                </c:pt>
                <c:pt idx="628">
                  <c:v>1.59253</c:v>
                </c:pt>
                <c:pt idx="629">
                  <c:v>1.5950500000000001</c:v>
                </c:pt>
                <c:pt idx="630">
                  <c:v>1.5972999999999999</c:v>
                </c:pt>
                <c:pt idx="631">
                  <c:v>1.5993599999999999</c:v>
                </c:pt>
                <c:pt idx="632">
                  <c:v>1.6013900000000001</c:v>
                </c:pt>
                <c:pt idx="633">
                  <c:v>1.6031899999999999</c:v>
                </c:pt>
                <c:pt idx="634">
                  <c:v>1.60483</c:v>
                </c:pt>
                <c:pt idx="635">
                  <c:v>1.6064499999999999</c:v>
                </c:pt>
                <c:pt idx="636">
                  <c:v>1.6080300000000001</c:v>
                </c:pt>
                <c:pt idx="637">
                  <c:v>1.6095699999999999</c:v>
                </c:pt>
                <c:pt idx="638">
                  <c:v>1.61107</c:v>
                </c:pt>
                <c:pt idx="639">
                  <c:v>1.6125700000000001</c:v>
                </c:pt>
                <c:pt idx="640">
                  <c:v>1.6140600000000001</c:v>
                </c:pt>
                <c:pt idx="641">
                  <c:v>1.6154599999999999</c:v>
                </c:pt>
                <c:pt idx="642">
                  <c:v>1.6167199999999999</c:v>
                </c:pt>
                <c:pt idx="643">
                  <c:v>1.6179399999999999</c:v>
                </c:pt>
                <c:pt idx="644">
                  <c:v>1.6191500000000001</c:v>
                </c:pt>
                <c:pt idx="645">
                  <c:v>1.62033</c:v>
                </c:pt>
                <c:pt idx="646">
                  <c:v>1.6214999999999999</c:v>
                </c:pt>
                <c:pt idx="647">
                  <c:v>1.6225499999999999</c:v>
                </c:pt>
                <c:pt idx="648">
                  <c:v>1.6235299999999999</c:v>
                </c:pt>
                <c:pt idx="649">
                  <c:v>1.6245099999999999</c:v>
                </c:pt>
                <c:pt idx="650">
                  <c:v>1.62548</c:v>
                </c:pt>
                <c:pt idx="651">
                  <c:v>1.6264400000000001</c:v>
                </c:pt>
                <c:pt idx="652">
                  <c:v>1.62738</c:v>
                </c:pt>
                <c:pt idx="653">
                  <c:v>1.62832</c:v>
                </c:pt>
                <c:pt idx="654">
                  <c:v>1.6292500000000001</c:v>
                </c:pt>
                <c:pt idx="655">
                  <c:v>1.63018</c:v>
                </c:pt>
                <c:pt idx="656">
                  <c:v>1.6311199999999999</c:v>
                </c:pt>
                <c:pt idx="657">
                  <c:v>1.6320399999999999</c:v>
                </c:pt>
                <c:pt idx="658">
                  <c:v>1.6329499999999999</c:v>
                </c:pt>
                <c:pt idx="659">
                  <c:v>1.6338600000000001</c:v>
                </c:pt>
                <c:pt idx="660">
                  <c:v>1.6347700000000001</c:v>
                </c:pt>
                <c:pt idx="661">
                  <c:v>1.63567</c:v>
                </c:pt>
                <c:pt idx="662">
                  <c:v>1.6365799999999999</c:v>
                </c:pt>
                <c:pt idx="663">
                  <c:v>1.63748</c:v>
                </c:pt>
                <c:pt idx="664">
                  <c:v>1.63835</c:v>
                </c:pt>
                <c:pt idx="665">
                  <c:v>1.63916</c:v>
                </c:pt>
                <c:pt idx="666">
                  <c:v>1.6399600000000001</c:v>
                </c:pt>
                <c:pt idx="667">
                  <c:v>1.64076</c:v>
                </c:pt>
                <c:pt idx="668">
                  <c:v>1.6415599999999999</c:v>
                </c:pt>
                <c:pt idx="669">
                  <c:v>1.64236</c:v>
                </c:pt>
                <c:pt idx="670">
                  <c:v>1.6431500000000001</c:v>
                </c:pt>
                <c:pt idx="671">
                  <c:v>1.64392</c:v>
                </c:pt>
                <c:pt idx="672">
                  <c:v>1.6446799999999999</c:v>
                </c:pt>
                <c:pt idx="673">
                  <c:v>1.64544</c:v>
                </c:pt>
                <c:pt idx="674">
                  <c:v>1.6462000000000001</c:v>
                </c:pt>
                <c:pt idx="675">
                  <c:v>1.6469499999999999</c:v>
                </c:pt>
                <c:pt idx="676">
                  <c:v>1.64771</c:v>
                </c:pt>
                <c:pt idx="677">
                  <c:v>1.6484700000000001</c:v>
                </c:pt>
                <c:pt idx="678">
                  <c:v>1.6492100000000001</c:v>
                </c:pt>
                <c:pt idx="679">
                  <c:v>1.64991</c:v>
                </c:pt>
                <c:pt idx="680">
                  <c:v>1.65059</c:v>
                </c:pt>
                <c:pt idx="681">
                  <c:v>1.6512800000000001</c:v>
                </c:pt>
                <c:pt idx="682">
                  <c:v>1.6519600000000001</c:v>
                </c:pt>
                <c:pt idx="683">
                  <c:v>1.65265</c:v>
                </c:pt>
                <c:pt idx="684">
                  <c:v>1.65333</c:v>
                </c:pt>
                <c:pt idx="685">
                  <c:v>1.65401</c:v>
                </c:pt>
                <c:pt idx="686">
                  <c:v>1.65469</c:v>
                </c:pt>
                <c:pt idx="687">
                  <c:v>1.6553599999999999</c:v>
                </c:pt>
                <c:pt idx="688">
                  <c:v>1.65604</c:v>
                </c:pt>
                <c:pt idx="689">
                  <c:v>1.6567000000000001</c:v>
                </c:pt>
                <c:pt idx="690">
                  <c:v>1.65737</c:v>
                </c:pt>
                <c:pt idx="691">
                  <c:v>1.65804</c:v>
                </c:pt>
                <c:pt idx="692">
                  <c:v>1.6587000000000001</c:v>
                </c:pt>
                <c:pt idx="693">
                  <c:v>1.65937</c:v>
                </c:pt>
                <c:pt idx="694">
                  <c:v>1.66004</c:v>
                </c:pt>
                <c:pt idx="695">
                  <c:v>1.6607099999999999</c:v>
                </c:pt>
                <c:pt idx="696">
                  <c:v>1.66137</c:v>
                </c:pt>
                <c:pt idx="697">
                  <c:v>1.66204</c:v>
                </c:pt>
                <c:pt idx="698">
                  <c:v>1.6627099999999999</c:v>
                </c:pt>
                <c:pt idx="699">
                  <c:v>1.66337</c:v>
                </c:pt>
                <c:pt idx="700">
                  <c:v>1.33802</c:v>
                </c:pt>
                <c:pt idx="701">
                  <c:v>1.01271</c:v>
                </c:pt>
                <c:pt idx="702">
                  <c:v>0.68807799999999997</c:v>
                </c:pt>
                <c:pt idx="703">
                  <c:v>0.36629800000000001</c:v>
                </c:pt>
                <c:pt idx="704">
                  <c:v>4.5692999999999998E-2</c:v>
                </c:pt>
                <c:pt idx="705">
                  <c:v>-0.27401900000000001</c:v>
                </c:pt>
                <c:pt idx="706">
                  <c:v>-0.58996700000000002</c:v>
                </c:pt>
                <c:pt idx="707">
                  <c:v>-0.905281</c:v>
                </c:pt>
                <c:pt idx="708">
                  <c:v>-1.2205900000000001</c:v>
                </c:pt>
                <c:pt idx="709">
                  <c:v>-1.5359100000000001</c:v>
                </c:pt>
                <c:pt idx="710">
                  <c:v>-1.76786</c:v>
                </c:pt>
                <c:pt idx="711">
                  <c:v>-1.8338099999999999</c:v>
                </c:pt>
                <c:pt idx="712">
                  <c:v>-1.8801000000000001</c:v>
                </c:pt>
                <c:pt idx="713">
                  <c:v>-1.9046099999999999</c:v>
                </c:pt>
                <c:pt idx="714">
                  <c:v>-1.92692</c:v>
                </c:pt>
                <c:pt idx="715">
                  <c:v>-1.9481200000000001</c:v>
                </c:pt>
                <c:pt idx="716">
                  <c:v>-1.96841</c:v>
                </c:pt>
                <c:pt idx="717">
                  <c:v>-1.9878800000000001</c:v>
                </c:pt>
                <c:pt idx="718">
                  <c:v>-2.0069499999999998</c:v>
                </c:pt>
                <c:pt idx="719">
                  <c:v>-2.0254500000000002</c:v>
                </c:pt>
                <c:pt idx="720">
                  <c:v>-2.0434600000000001</c:v>
                </c:pt>
                <c:pt idx="721">
                  <c:v>-2.0613100000000002</c:v>
                </c:pt>
                <c:pt idx="722">
                  <c:v>-2.07891</c:v>
                </c:pt>
                <c:pt idx="723">
                  <c:v>-2.0962700000000001</c:v>
                </c:pt>
                <c:pt idx="724">
                  <c:v>-2.1133099999999998</c:v>
                </c:pt>
                <c:pt idx="725">
                  <c:v>-2.13028</c:v>
                </c:pt>
                <c:pt idx="726">
                  <c:v>-2.1471499999999999</c:v>
                </c:pt>
                <c:pt idx="727">
                  <c:v>-2.1639699999999999</c:v>
                </c:pt>
                <c:pt idx="728">
                  <c:v>-2.18059</c:v>
                </c:pt>
                <c:pt idx="729">
                  <c:v>-2.1971500000000002</c:v>
                </c:pt>
                <c:pt idx="730">
                  <c:v>-2.2135899999999999</c:v>
                </c:pt>
                <c:pt idx="731">
                  <c:v>-2.22993</c:v>
                </c:pt>
                <c:pt idx="732">
                  <c:v>-2.2462499999999999</c:v>
                </c:pt>
                <c:pt idx="733">
                  <c:v>-2.26254</c:v>
                </c:pt>
                <c:pt idx="734">
                  <c:v>-2.27881</c:v>
                </c:pt>
                <c:pt idx="735">
                  <c:v>-2.2950699999999999</c:v>
                </c:pt>
                <c:pt idx="736">
                  <c:v>-2.3113299999999999</c:v>
                </c:pt>
                <c:pt idx="737">
                  <c:v>-2.3275100000000002</c:v>
                </c:pt>
                <c:pt idx="738">
                  <c:v>-2.3436900000000001</c:v>
                </c:pt>
                <c:pt idx="739">
                  <c:v>-2.3598599999999998</c:v>
                </c:pt>
                <c:pt idx="740">
                  <c:v>-2.3758699999999999</c:v>
                </c:pt>
                <c:pt idx="741">
                  <c:v>-2.39154</c:v>
                </c:pt>
                <c:pt idx="742">
                  <c:v>-2.40686</c:v>
                </c:pt>
                <c:pt idx="743">
                  <c:v>-2.42197</c:v>
                </c:pt>
                <c:pt idx="744">
                  <c:v>-2.4355600000000002</c:v>
                </c:pt>
                <c:pt idx="745">
                  <c:v>-2.44712</c:v>
                </c:pt>
                <c:pt idx="746">
                  <c:v>-2.4530699999999999</c:v>
                </c:pt>
                <c:pt idx="747">
                  <c:v>-2.4578700000000002</c:v>
                </c:pt>
                <c:pt idx="748">
                  <c:v>-2.46244</c:v>
                </c:pt>
                <c:pt idx="749">
                  <c:v>-2.46698</c:v>
                </c:pt>
                <c:pt idx="750">
                  <c:v>-2.4714700000000001</c:v>
                </c:pt>
                <c:pt idx="751">
                  <c:v>-2.4757799999999999</c:v>
                </c:pt>
                <c:pt idx="752">
                  <c:v>-2.4786800000000002</c:v>
                </c:pt>
                <c:pt idx="753">
                  <c:v>-2.4809999999999999</c:v>
                </c:pt>
                <c:pt idx="754">
                  <c:v>-2.4829300000000001</c:v>
                </c:pt>
                <c:pt idx="755">
                  <c:v>-2.4844900000000001</c:v>
                </c:pt>
                <c:pt idx="756">
                  <c:v>-2.48604</c:v>
                </c:pt>
                <c:pt idx="757">
                  <c:v>-2.4875699999999998</c:v>
                </c:pt>
                <c:pt idx="758">
                  <c:v>-2.4891000000000001</c:v>
                </c:pt>
                <c:pt idx="759">
                  <c:v>-2.4906299999999999</c:v>
                </c:pt>
                <c:pt idx="760">
                  <c:v>-2.49214</c:v>
                </c:pt>
                <c:pt idx="761">
                  <c:v>-2.4936500000000001</c:v>
                </c:pt>
                <c:pt idx="762">
                  <c:v>-2.4951599999999998</c:v>
                </c:pt>
                <c:pt idx="763">
                  <c:v>-2.4966499999999998</c:v>
                </c:pt>
                <c:pt idx="764">
                  <c:v>-2.4981100000000001</c:v>
                </c:pt>
                <c:pt idx="765">
                  <c:v>-2.4995599999999998</c:v>
                </c:pt>
                <c:pt idx="766">
                  <c:v>-2.50101</c:v>
                </c:pt>
                <c:pt idx="767">
                  <c:v>-2.50244</c:v>
                </c:pt>
                <c:pt idx="768">
                  <c:v>-2.5038800000000001</c:v>
                </c:pt>
                <c:pt idx="769">
                  <c:v>-2.5053000000000001</c:v>
                </c:pt>
                <c:pt idx="770">
                  <c:v>-2.5067200000000001</c:v>
                </c:pt>
                <c:pt idx="771">
                  <c:v>-2.5081000000000002</c:v>
                </c:pt>
                <c:pt idx="772">
                  <c:v>-2.5094799999999999</c:v>
                </c:pt>
                <c:pt idx="773">
                  <c:v>-2.51085</c:v>
                </c:pt>
                <c:pt idx="774">
                  <c:v>-2.5122200000000001</c:v>
                </c:pt>
                <c:pt idx="775">
                  <c:v>-2.5135900000000002</c:v>
                </c:pt>
                <c:pt idx="776">
                  <c:v>-2.5149599999999999</c:v>
                </c:pt>
                <c:pt idx="777">
                  <c:v>-2.51633</c:v>
                </c:pt>
                <c:pt idx="778">
                  <c:v>-2.5177</c:v>
                </c:pt>
                <c:pt idx="779">
                  <c:v>-2.5190700000000001</c:v>
                </c:pt>
                <c:pt idx="780">
                  <c:v>-2.5204300000000002</c:v>
                </c:pt>
                <c:pt idx="781">
                  <c:v>-2.5217999999999998</c:v>
                </c:pt>
                <c:pt idx="782">
                  <c:v>-2.5231699999999999</c:v>
                </c:pt>
                <c:pt idx="783">
                  <c:v>-2.52454</c:v>
                </c:pt>
                <c:pt idx="784">
                  <c:v>-2.52589</c:v>
                </c:pt>
                <c:pt idx="785">
                  <c:v>-2.5272399999999999</c:v>
                </c:pt>
                <c:pt idx="786">
                  <c:v>-2.5285799999999998</c:v>
                </c:pt>
                <c:pt idx="787">
                  <c:v>-2.5299299999999998</c:v>
                </c:pt>
                <c:pt idx="788">
                  <c:v>-2.5312700000000001</c:v>
                </c:pt>
                <c:pt idx="789">
                  <c:v>-2.5325799999999998</c:v>
                </c:pt>
                <c:pt idx="790">
                  <c:v>-2.5339</c:v>
                </c:pt>
                <c:pt idx="791">
                  <c:v>-2.5352100000000002</c:v>
                </c:pt>
                <c:pt idx="792">
                  <c:v>-2.5365199999999999</c:v>
                </c:pt>
                <c:pt idx="793">
                  <c:v>-2.53783</c:v>
                </c:pt>
                <c:pt idx="794">
                  <c:v>-2.5391400000000002</c:v>
                </c:pt>
                <c:pt idx="795">
                  <c:v>-2.5404499999999999</c:v>
                </c:pt>
                <c:pt idx="796">
                  <c:v>-2.54176</c:v>
                </c:pt>
                <c:pt idx="797">
                  <c:v>-2.5430600000000001</c:v>
                </c:pt>
                <c:pt idx="798">
                  <c:v>-2.5443600000000002</c:v>
                </c:pt>
                <c:pt idx="799">
                  <c:v>-2.5456400000000001</c:v>
                </c:pt>
                <c:pt idx="800">
                  <c:v>-2.28287</c:v>
                </c:pt>
                <c:pt idx="801">
                  <c:v>-2.02033</c:v>
                </c:pt>
                <c:pt idx="802">
                  <c:v>-1.7578100000000001</c:v>
                </c:pt>
                <c:pt idx="803">
                  <c:v>-1.49587</c:v>
                </c:pt>
                <c:pt idx="804">
                  <c:v>-1.2353000000000001</c:v>
                </c:pt>
                <c:pt idx="805">
                  <c:v>-0.97540700000000002</c:v>
                </c:pt>
                <c:pt idx="806">
                  <c:v>-0.71710600000000002</c:v>
                </c:pt>
                <c:pt idx="807">
                  <c:v>-0.45883099999999999</c:v>
                </c:pt>
                <c:pt idx="808">
                  <c:v>-0.200909</c:v>
                </c:pt>
                <c:pt idx="809">
                  <c:v>5.5522599999999998E-2</c:v>
                </c:pt>
                <c:pt idx="810">
                  <c:v>0.310969</c:v>
                </c:pt>
                <c:pt idx="811">
                  <c:v>0.56465500000000002</c:v>
                </c:pt>
                <c:pt idx="812">
                  <c:v>0.81794999999999995</c:v>
                </c:pt>
                <c:pt idx="813">
                  <c:v>1.0708299999999999</c:v>
                </c:pt>
                <c:pt idx="814">
                  <c:v>1.32159</c:v>
                </c:pt>
                <c:pt idx="815">
                  <c:v>1.5258</c:v>
                </c:pt>
                <c:pt idx="816">
                  <c:v>1.5594600000000001</c:v>
                </c:pt>
                <c:pt idx="817">
                  <c:v>1.5899300000000001</c:v>
                </c:pt>
                <c:pt idx="818">
                  <c:v>1.6153999999999999</c:v>
                </c:pt>
                <c:pt idx="819">
                  <c:v>1.6355599999999999</c:v>
                </c:pt>
                <c:pt idx="820">
                  <c:v>1.64977</c:v>
                </c:pt>
                <c:pt idx="821">
                  <c:v>1.6575299999999999</c:v>
                </c:pt>
                <c:pt idx="822">
                  <c:v>1.66273</c:v>
                </c:pt>
                <c:pt idx="823">
                  <c:v>1.66713</c:v>
                </c:pt>
                <c:pt idx="824">
                  <c:v>1.67076</c:v>
                </c:pt>
                <c:pt idx="825">
                  <c:v>1.6731400000000001</c:v>
                </c:pt>
                <c:pt idx="826">
                  <c:v>1.6751400000000001</c:v>
                </c:pt>
                <c:pt idx="827">
                  <c:v>1.6769799999999999</c:v>
                </c:pt>
                <c:pt idx="828">
                  <c:v>1.6786700000000001</c:v>
                </c:pt>
                <c:pt idx="829">
                  <c:v>1.68032</c:v>
                </c:pt>
                <c:pt idx="830">
                  <c:v>1.68177</c:v>
                </c:pt>
                <c:pt idx="831">
                  <c:v>1.68319</c:v>
                </c:pt>
                <c:pt idx="832">
                  <c:v>1.68458</c:v>
                </c:pt>
                <c:pt idx="833">
                  <c:v>1.68594</c:v>
                </c:pt>
                <c:pt idx="834">
                  <c:v>1.68727</c:v>
                </c:pt>
                <c:pt idx="835">
                  <c:v>1.6886099999999999</c:v>
                </c:pt>
                <c:pt idx="836">
                  <c:v>1.6899200000000001</c:v>
                </c:pt>
                <c:pt idx="837">
                  <c:v>1.69112</c:v>
                </c:pt>
                <c:pt idx="838">
                  <c:v>1.69228</c:v>
                </c:pt>
                <c:pt idx="839">
                  <c:v>1.6934400000000001</c:v>
                </c:pt>
                <c:pt idx="840">
                  <c:v>1.6945699999999999</c:v>
                </c:pt>
                <c:pt idx="841">
                  <c:v>1.69567</c:v>
                </c:pt>
                <c:pt idx="842">
                  <c:v>1.69668</c:v>
                </c:pt>
                <c:pt idx="843">
                  <c:v>1.6976899999999999</c:v>
                </c:pt>
                <c:pt idx="844">
                  <c:v>1.69869</c:v>
                </c:pt>
                <c:pt idx="845">
                  <c:v>1.6996899999999999</c:v>
                </c:pt>
                <c:pt idx="846">
                  <c:v>1.7006699999999999</c:v>
                </c:pt>
                <c:pt idx="847">
                  <c:v>1.70164</c:v>
                </c:pt>
                <c:pt idx="848">
                  <c:v>1.70262</c:v>
                </c:pt>
                <c:pt idx="849">
                  <c:v>1.7036</c:v>
                </c:pt>
                <c:pt idx="850">
                  <c:v>1.70458</c:v>
                </c:pt>
                <c:pt idx="851">
                  <c:v>1.7055400000000001</c:v>
                </c:pt>
                <c:pt idx="852">
                  <c:v>1.7064999999999999</c:v>
                </c:pt>
                <c:pt idx="853">
                  <c:v>1.70746</c:v>
                </c:pt>
                <c:pt idx="854">
                  <c:v>1.70842</c:v>
                </c:pt>
                <c:pt idx="855">
                  <c:v>1.7093799999999999</c:v>
                </c:pt>
                <c:pt idx="856">
                  <c:v>1.7103200000000001</c:v>
                </c:pt>
                <c:pt idx="857">
                  <c:v>1.7112099999999999</c:v>
                </c:pt>
                <c:pt idx="858">
                  <c:v>1.71211</c:v>
                </c:pt>
                <c:pt idx="859">
                  <c:v>1.7130099999999999</c:v>
                </c:pt>
                <c:pt idx="860">
                  <c:v>1.7139</c:v>
                </c:pt>
                <c:pt idx="861">
                  <c:v>1.71479</c:v>
                </c:pt>
                <c:pt idx="862">
                  <c:v>1.71567</c:v>
                </c:pt>
                <c:pt idx="863">
                  <c:v>1.71654</c:v>
                </c:pt>
                <c:pt idx="864">
                  <c:v>1.7174100000000001</c:v>
                </c:pt>
                <c:pt idx="865">
                  <c:v>1.71828</c:v>
                </c:pt>
                <c:pt idx="866">
                  <c:v>1.71915</c:v>
                </c:pt>
                <c:pt idx="867">
                  <c:v>1.7200200000000001</c:v>
                </c:pt>
                <c:pt idx="868">
                  <c:v>1.7208699999999999</c:v>
                </c:pt>
                <c:pt idx="869">
                  <c:v>1.7217</c:v>
                </c:pt>
                <c:pt idx="870">
                  <c:v>1.7225200000000001</c:v>
                </c:pt>
                <c:pt idx="871">
                  <c:v>1.7233499999999999</c:v>
                </c:pt>
                <c:pt idx="872">
                  <c:v>1.72417</c:v>
                </c:pt>
                <c:pt idx="873">
                  <c:v>1.7250000000000001</c:v>
                </c:pt>
                <c:pt idx="874">
                  <c:v>1.7258199999999999</c:v>
                </c:pt>
                <c:pt idx="875">
                  <c:v>1.72664</c:v>
                </c:pt>
                <c:pt idx="876">
                  <c:v>1.72746</c:v>
                </c:pt>
                <c:pt idx="877">
                  <c:v>1.72827</c:v>
                </c:pt>
                <c:pt idx="878">
                  <c:v>1.72909</c:v>
                </c:pt>
                <c:pt idx="879">
                  <c:v>1.7299</c:v>
                </c:pt>
                <c:pt idx="880">
                  <c:v>1.73072</c:v>
                </c:pt>
                <c:pt idx="881">
                  <c:v>1.73153</c:v>
                </c:pt>
                <c:pt idx="882">
                  <c:v>1.73234</c:v>
                </c:pt>
                <c:pt idx="883">
                  <c:v>1.73316</c:v>
                </c:pt>
                <c:pt idx="884">
                  <c:v>1.73397</c:v>
                </c:pt>
                <c:pt idx="885">
                  <c:v>1.7347900000000001</c:v>
                </c:pt>
                <c:pt idx="886">
                  <c:v>1.7356</c:v>
                </c:pt>
                <c:pt idx="887">
                  <c:v>1.7364200000000001</c:v>
                </c:pt>
                <c:pt idx="888">
                  <c:v>1.7372300000000001</c:v>
                </c:pt>
                <c:pt idx="889">
                  <c:v>1.73804</c:v>
                </c:pt>
                <c:pt idx="890">
                  <c:v>1.7388600000000001</c:v>
                </c:pt>
                <c:pt idx="891">
                  <c:v>1.73967</c:v>
                </c:pt>
                <c:pt idx="892">
                  <c:v>1.7404900000000001</c:v>
                </c:pt>
                <c:pt idx="893">
                  <c:v>1.7413000000000001</c:v>
                </c:pt>
                <c:pt idx="894">
                  <c:v>1.7421199999999999</c:v>
                </c:pt>
                <c:pt idx="895">
                  <c:v>1.7429300000000001</c:v>
                </c:pt>
                <c:pt idx="896">
                  <c:v>1.7437400000000001</c:v>
                </c:pt>
                <c:pt idx="897">
                  <c:v>1.7445600000000001</c:v>
                </c:pt>
                <c:pt idx="898">
                  <c:v>1.7453700000000001</c:v>
                </c:pt>
                <c:pt idx="899">
                  <c:v>1.7461899999999999</c:v>
                </c:pt>
                <c:pt idx="900">
                  <c:v>1.3669100000000001</c:v>
                </c:pt>
                <c:pt idx="901">
                  <c:v>0.98852499999999999</c:v>
                </c:pt>
                <c:pt idx="902">
                  <c:v>0.61150400000000005</c:v>
                </c:pt>
                <c:pt idx="903">
                  <c:v>0.23483200000000001</c:v>
                </c:pt>
                <c:pt idx="904">
                  <c:v>-0.140763</c:v>
                </c:pt>
                <c:pt idx="905">
                  <c:v>-0.514737</c:v>
                </c:pt>
                <c:pt idx="906">
                  <c:v>-0.88855099999999998</c:v>
                </c:pt>
                <c:pt idx="907">
                  <c:v>-1.2623599999999999</c:v>
                </c:pt>
                <c:pt idx="908">
                  <c:v>-1.63618</c:v>
                </c:pt>
                <c:pt idx="909">
                  <c:v>-1.8919900000000001</c:v>
                </c:pt>
                <c:pt idx="910">
                  <c:v>-1.9569099999999999</c:v>
                </c:pt>
                <c:pt idx="911">
                  <c:v>-2.0023</c:v>
                </c:pt>
                <c:pt idx="912">
                  <c:v>-2.0272800000000002</c:v>
                </c:pt>
                <c:pt idx="913">
                  <c:v>-2.0505499999999999</c:v>
                </c:pt>
                <c:pt idx="914">
                  <c:v>-2.0731099999999998</c:v>
                </c:pt>
                <c:pt idx="915">
                  <c:v>-2.0949599999999999</c:v>
                </c:pt>
                <c:pt idx="916">
                  <c:v>-2.1164499999999999</c:v>
                </c:pt>
                <c:pt idx="917">
                  <c:v>-2.1375000000000002</c:v>
                </c:pt>
                <c:pt idx="918">
                  <c:v>-2.15822</c:v>
                </c:pt>
                <c:pt idx="919">
                  <c:v>-2.1788099999999999</c:v>
                </c:pt>
                <c:pt idx="920">
                  <c:v>-2.19916</c:v>
                </c:pt>
                <c:pt idx="921">
                  <c:v>-2.2193399999999999</c:v>
                </c:pt>
                <c:pt idx="922">
                  <c:v>-2.2393700000000001</c:v>
                </c:pt>
                <c:pt idx="923">
                  <c:v>-2.2593399999999999</c:v>
                </c:pt>
                <c:pt idx="924">
                  <c:v>-2.2792699999999999</c:v>
                </c:pt>
                <c:pt idx="925">
                  <c:v>-2.2990599999999999</c:v>
                </c:pt>
                <c:pt idx="926">
                  <c:v>-2.31881</c:v>
                </c:pt>
                <c:pt idx="927">
                  <c:v>-2.3384499999999999</c:v>
                </c:pt>
                <c:pt idx="928">
                  <c:v>-2.35805</c:v>
                </c:pt>
                <c:pt idx="929">
                  <c:v>-2.3776299999999999</c:v>
                </c:pt>
                <c:pt idx="930">
                  <c:v>-2.3972000000000002</c:v>
                </c:pt>
                <c:pt idx="931">
                  <c:v>-2.41675</c:v>
                </c:pt>
                <c:pt idx="932">
                  <c:v>-2.4363000000000001</c:v>
                </c:pt>
                <c:pt idx="933">
                  <c:v>-2.4540600000000001</c:v>
                </c:pt>
                <c:pt idx="934">
                  <c:v>-2.4704299999999999</c:v>
                </c:pt>
                <c:pt idx="935">
                  <c:v>-2.48638</c:v>
                </c:pt>
                <c:pt idx="936">
                  <c:v>-2.50075</c:v>
                </c:pt>
                <c:pt idx="937">
                  <c:v>-2.5047999999999999</c:v>
                </c:pt>
                <c:pt idx="938">
                  <c:v>-2.50875</c:v>
                </c:pt>
                <c:pt idx="939">
                  <c:v>-2.5127000000000002</c:v>
                </c:pt>
                <c:pt idx="940">
                  <c:v>-2.5165299999999999</c:v>
                </c:pt>
                <c:pt idx="941">
                  <c:v>-2.5202800000000001</c:v>
                </c:pt>
                <c:pt idx="942">
                  <c:v>-2.5240200000000002</c:v>
                </c:pt>
                <c:pt idx="943">
                  <c:v>-2.5277599999999998</c:v>
                </c:pt>
                <c:pt idx="944">
                  <c:v>-2.5314999999999999</c:v>
                </c:pt>
                <c:pt idx="945">
                  <c:v>-2.5352399999999999</c:v>
                </c:pt>
                <c:pt idx="946">
                  <c:v>-2.5386299999999999</c:v>
                </c:pt>
                <c:pt idx="947">
                  <c:v>-2.5419800000000001</c:v>
                </c:pt>
                <c:pt idx="948">
                  <c:v>-2.5453399999999999</c:v>
                </c:pt>
                <c:pt idx="949">
                  <c:v>-2.5480200000000002</c:v>
                </c:pt>
                <c:pt idx="950">
                  <c:v>-2.5505300000000002</c:v>
                </c:pt>
                <c:pt idx="951">
                  <c:v>-2.5530400000000002</c:v>
                </c:pt>
                <c:pt idx="952">
                  <c:v>-2.5555500000000002</c:v>
                </c:pt>
                <c:pt idx="953">
                  <c:v>-2.5580699999999998</c:v>
                </c:pt>
                <c:pt idx="954">
                  <c:v>-2.5605799999999999</c:v>
                </c:pt>
                <c:pt idx="955">
                  <c:v>-2.5629599999999999</c:v>
                </c:pt>
                <c:pt idx="956">
                  <c:v>-2.5649000000000002</c:v>
                </c:pt>
                <c:pt idx="957">
                  <c:v>-2.56684</c:v>
                </c:pt>
                <c:pt idx="958">
                  <c:v>-2.5687799999999998</c:v>
                </c:pt>
                <c:pt idx="959">
                  <c:v>-2.5707100000000001</c:v>
                </c:pt>
                <c:pt idx="960">
                  <c:v>-2.5726100000000001</c:v>
                </c:pt>
                <c:pt idx="961">
                  <c:v>-2.5745</c:v>
                </c:pt>
                <c:pt idx="962">
                  <c:v>-2.57639</c:v>
                </c:pt>
                <c:pt idx="963">
                  <c:v>-2.5782799999999999</c:v>
                </c:pt>
                <c:pt idx="964">
                  <c:v>-2.5801699999999999</c:v>
                </c:pt>
                <c:pt idx="965">
                  <c:v>-2.5820500000000002</c:v>
                </c:pt>
                <c:pt idx="966">
                  <c:v>-2.5839300000000001</c:v>
                </c:pt>
                <c:pt idx="967">
                  <c:v>-2.5857999999999999</c:v>
                </c:pt>
                <c:pt idx="968">
                  <c:v>-2.5876800000000002</c:v>
                </c:pt>
                <c:pt idx="969">
                  <c:v>-2.58955</c:v>
                </c:pt>
                <c:pt idx="970">
                  <c:v>-2.5914199999999998</c:v>
                </c:pt>
                <c:pt idx="971">
                  <c:v>-2.59328</c:v>
                </c:pt>
                <c:pt idx="972">
                  <c:v>-2.5951499999999998</c:v>
                </c:pt>
                <c:pt idx="973">
                  <c:v>-2.5970200000000001</c:v>
                </c:pt>
                <c:pt idx="974">
                  <c:v>-2.5988799999999999</c:v>
                </c:pt>
                <c:pt idx="975">
                  <c:v>-2.6007400000000001</c:v>
                </c:pt>
                <c:pt idx="976">
                  <c:v>-2.6025999999999998</c:v>
                </c:pt>
                <c:pt idx="977">
                  <c:v>-2.60446</c:v>
                </c:pt>
                <c:pt idx="978">
                  <c:v>-2.6063100000000001</c:v>
                </c:pt>
                <c:pt idx="979">
                  <c:v>-2.6081699999999999</c:v>
                </c:pt>
                <c:pt idx="980">
                  <c:v>-2.61002</c:v>
                </c:pt>
                <c:pt idx="981">
                  <c:v>-2.6118700000000001</c:v>
                </c:pt>
                <c:pt idx="982">
                  <c:v>-2.6137199999999998</c:v>
                </c:pt>
                <c:pt idx="983">
                  <c:v>-2.61557</c:v>
                </c:pt>
                <c:pt idx="984">
                  <c:v>-2.6174300000000001</c:v>
                </c:pt>
                <c:pt idx="985">
                  <c:v>-2.6192799999999998</c:v>
                </c:pt>
                <c:pt idx="986">
                  <c:v>-2.6211199999999999</c:v>
                </c:pt>
                <c:pt idx="987">
                  <c:v>-2.62297</c:v>
                </c:pt>
                <c:pt idx="988">
                  <c:v>-2.6248200000000002</c:v>
                </c:pt>
                <c:pt idx="989">
                  <c:v>-2.6266600000000002</c:v>
                </c:pt>
                <c:pt idx="990">
                  <c:v>-2.6285099999999999</c:v>
                </c:pt>
                <c:pt idx="991">
                  <c:v>-2.63035</c:v>
                </c:pt>
                <c:pt idx="992">
                  <c:v>-2.6322000000000001</c:v>
                </c:pt>
                <c:pt idx="993">
                  <c:v>-2.6340499999999998</c:v>
                </c:pt>
                <c:pt idx="994">
                  <c:v>-2.6358899999999998</c:v>
                </c:pt>
                <c:pt idx="995">
                  <c:v>-2.6377299999999999</c:v>
                </c:pt>
                <c:pt idx="996">
                  <c:v>-2.63958</c:v>
                </c:pt>
                <c:pt idx="997">
                  <c:v>-2.6414200000000001</c:v>
                </c:pt>
                <c:pt idx="998">
                  <c:v>-2.6432600000000002</c:v>
                </c:pt>
                <c:pt idx="999">
                  <c:v>-2.6450999999999998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62-4BAB-B136-7CBB1DDEA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722880"/>
        <c:axId val="526724544"/>
      </c:scatterChart>
      <c:valAx>
        <c:axId val="52672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526724544"/>
        <c:crosses val="autoZero"/>
        <c:crossBetween val="midCat"/>
      </c:valAx>
      <c:valAx>
        <c:axId val="52672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52672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zh-H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Axial</a:t>
            </a:r>
            <a:r>
              <a:rPr lang="en-US" altLang="zh-TW" baseline="0"/>
              <a:t> force = 625,9875,19125 kN</a:t>
            </a:r>
            <a:endParaRPr lang="zh-TW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marker>
            <c:symbol val="none"/>
          </c:marker>
          <c:xVal>
            <c:numRef>
              <c:f>Result!$H$1:$H$5000</c:f>
              <c:numCache>
                <c:formatCode>General</c:formatCode>
                <c:ptCount val="5000"/>
                <c:pt idx="0">
                  <c:v>3.9292399999999998E-2</c:v>
                </c:pt>
                <c:pt idx="1">
                  <c:v>8.9292399999999994E-2</c:v>
                </c:pt>
                <c:pt idx="2">
                  <c:v>0.139292</c:v>
                </c:pt>
                <c:pt idx="3">
                  <c:v>0.18929199999999999</c:v>
                </c:pt>
                <c:pt idx="4">
                  <c:v>0.239292</c:v>
                </c:pt>
                <c:pt idx="5">
                  <c:v>0.28929199999999999</c:v>
                </c:pt>
                <c:pt idx="6">
                  <c:v>0.33929199999999998</c:v>
                </c:pt>
                <c:pt idx="7">
                  <c:v>0.38929200000000003</c:v>
                </c:pt>
                <c:pt idx="8">
                  <c:v>0.43929200000000002</c:v>
                </c:pt>
                <c:pt idx="9">
                  <c:v>0.489292</c:v>
                </c:pt>
                <c:pt idx="10">
                  <c:v>0.53929199999999999</c:v>
                </c:pt>
                <c:pt idx="11">
                  <c:v>0.58929200000000004</c:v>
                </c:pt>
                <c:pt idx="12">
                  <c:v>0.63929199999999997</c:v>
                </c:pt>
                <c:pt idx="13">
                  <c:v>0.68929200000000002</c:v>
                </c:pt>
                <c:pt idx="14">
                  <c:v>0.73929199999999995</c:v>
                </c:pt>
                <c:pt idx="15">
                  <c:v>0.78929199999999999</c:v>
                </c:pt>
                <c:pt idx="16">
                  <c:v>0.83929200000000004</c:v>
                </c:pt>
                <c:pt idx="17">
                  <c:v>0.88929199999999997</c:v>
                </c:pt>
                <c:pt idx="18">
                  <c:v>0.93929200000000002</c:v>
                </c:pt>
                <c:pt idx="19">
                  <c:v>0.98929199999999995</c:v>
                </c:pt>
                <c:pt idx="20">
                  <c:v>1.03929</c:v>
                </c:pt>
                <c:pt idx="21">
                  <c:v>1.0892900000000001</c:v>
                </c:pt>
                <c:pt idx="22">
                  <c:v>1.1392899999999999</c:v>
                </c:pt>
                <c:pt idx="23">
                  <c:v>1.18929</c:v>
                </c:pt>
                <c:pt idx="24">
                  <c:v>1.23929</c:v>
                </c:pt>
                <c:pt idx="25">
                  <c:v>1.28929</c:v>
                </c:pt>
                <c:pt idx="26">
                  <c:v>1.3392900000000001</c:v>
                </c:pt>
                <c:pt idx="27">
                  <c:v>1.3892899999999999</c:v>
                </c:pt>
                <c:pt idx="28">
                  <c:v>1.43929</c:v>
                </c:pt>
                <c:pt idx="29">
                  <c:v>1.48929</c:v>
                </c:pt>
                <c:pt idx="30">
                  <c:v>1.53929</c:v>
                </c:pt>
                <c:pt idx="31">
                  <c:v>1.5892900000000001</c:v>
                </c:pt>
                <c:pt idx="32">
                  <c:v>1.6392899999999999</c:v>
                </c:pt>
                <c:pt idx="33">
                  <c:v>1.68929</c:v>
                </c:pt>
                <c:pt idx="34">
                  <c:v>1.73929</c:v>
                </c:pt>
                <c:pt idx="35">
                  <c:v>1.78929</c:v>
                </c:pt>
                <c:pt idx="36">
                  <c:v>1.8392900000000001</c:v>
                </c:pt>
                <c:pt idx="37">
                  <c:v>1.8892899999999999</c:v>
                </c:pt>
                <c:pt idx="38">
                  <c:v>1.93929</c:v>
                </c:pt>
                <c:pt idx="39">
                  <c:v>1.98929</c:v>
                </c:pt>
                <c:pt idx="40">
                  <c:v>2.0392899999999998</c:v>
                </c:pt>
                <c:pt idx="41">
                  <c:v>2.0892900000000001</c:v>
                </c:pt>
                <c:pt idx="42">
                  <c:v>2.1392899999999999</c:v>
                </c:pt>
                <c:pt idx="43">
                  <c:v>2.1892900000000002</c:v>
                </c:pt>
                <c:pt idx="44">
                  <c:v>2.23929</c:v>
                </c:pt>
                <c:pt idx="45">
                  <c:v>2.2892899999999998</c:v>
                </c:pt>
                <c:pt idx="46">
                  <c:v>2.3392900000000001</c:v>
                </c:pt>
                <c:pt idx="47">
                  <c:v>2.3892899999999999</c:v>
                </c:pt>
                <c:pt idx="48">
                  <c:v>2.4392900000000002</c:v>
                </c:pt>
                <c:pt idx="49">
                  <c:v>2.48929</c:v>
                </c:pt>
                <c:pt idx="50">
                  <c:v>2.5392899999999998</c:v>
                </c:pt>
                <c:pt idx="51">
                  <c:v>2.5892900000000001</c:v>
                </c:pt>
                <c:pt idx="52">
                  <c:v>2.6392899999999999</c:v>
                </c:pt>
                <c:pt idx="53">
                  <c:v>2.6892900000000002</c:v>
                </c:pt>
                <c:pt idx="54">
                  <c:v>2.73929</c:v>
                </c:pt>
                <c:pt idx="55">
                  <c:v>2.7892899999999998</c:v>
                </c:pt>
                <c:pt idx="56">
                  <c:v>2.8392900000000001</c:v>
                </c:pt>
                <c:pt idx="57">
                  <c:v>2.8892899999999999</c:v>
                </c:pt>
                <c:pt idx="58">
                  <c:v>2.9392900000000002</c:v>
                </c:pt>
                <c:pt idx="59">
                  <c:v>2.98929</c:v>
                </c:pt>
                <c:pt idx="60">
                  <c:v>3.0392899999999998</c:v>
                </c:pt>
                <c:pt idx="61">
                  <c:v>3.0892900000000001</c:v>
                </c:pt>
                <c:pt idx="62">
                  <c:v>3.1392899999999999</c:v>
                </c:pt>
                <c:pt idx="63">
                  <c:v>3.1892900000000002</c:v>
                </c:pt>
                <c:pt idx="64">
                  <c:v>3.23929</c:v>
                </c:pt>
                <c:pt idx="65">
                  <c:v>3.2892899999999998</c:v>
                </c:pt>
                <c:pt idx="66">
                  <c:v>3.3392900000000001</c:v>
                </c:pt>
                <c:pt idx="67">
                  <c:v>3.3892899999999999</c:v>
                </c:pt>
                <c:pt idx="68">
                  <c:v>3.4392900000000002</c:v>
                </c:pt>
                <c:pt idx="69">
                  <c:v>3.48929</c:v>
                </c:pt>
                <c:pt idx="70">
                  <c:v>3.5392899999999998</c:v>
                </c:pt>
                <c:pt idx="71">
                  <c:v>3.5892900000000001</c:v>
                </c:pt>
                <c:pt idx="72">
                  <c:v>3.6392899999999999</c:v>
                </c:pt>
                <c:pt idx="73">
                  <c:v>3.6892900000000002</c:v>
                </c:pt>
                <c:pt idx="74">
                  <c:v>3.73929</c:v>
                </c:pt>
                <c:pt idx="75">
                  <c:v>3.7892899999999998</c:v>
                </c:pt>
                <c:pt idx="76">
                  <c:v>3.8392900000000001</c:v>
                </c:pt>
                <c:pt idx="77">
                  <c:v>3.8892899999999999</c:v>
                </c:pt>
                <c:pt idx="78">
                  <c:v>3.9392900000000002</c:v>
                </c:pt>
                <c:pt idx="79">
                  <c:v>3.98929</c:v>
                </c:pt>
                <c:pt idx="80">
                  <c:v>4.0392900000000003</c:v>
                </c:pt>
                <c:pt idx="81">
                  <c:v>4.0892900000000001</c:v>
                </c:pt>
                <c:pt idx="82">
                  <c:v>4.1392899999999999</c:v>
                </c:pt>
                <c:pt idx="83">
                  <c:v>4.1892899999999997</c:v>
                </c:pt>
                <c:pt idx="84">
                  <c:v>4.2392899999999996</c:v>
                </c:pt>
                <c:pt idx="85">
                  <c:v>4.2892900000000003</c:v>
                </c:pt>
                <c:pt idx="86">
                  <c:v>4.3392900000000001</c:v>
                </c:pt>
                <c:pt idx="87">
                  <c:v>4.3892899999999999</c:v>
                </c:pt>
                <c:pt idx="88">
                  <c:v>4.4392899999999997</c:v>
                </c:pt>
                <c:pt idx="89">
                  <c:v>4.4892899999999996</c:v>
                </c:pt>
                <c:pt idx="90">
                  <c:v>4.5392900000000003</c:v>
                </c:pt>
                <c:pt idx="91">
                  <c:v>4.5892900000000001</c:v>
                </c:pt>
                <c:pt idx="92">
                  <c:v>4.6392899999999999</c:v>
                </c:pt>
                <c:pt idx="93">
                  <c:v>4.6892899999999997</c:v>
                </c:pt>
                <c:pt idx="94">
                  <c:v>4.7392899999999996</c:v>
                </c:pt>
                <c:pt idx="95">
                  <c:v>4.7892900000000003</c:v>
                </c:pt>
                <c:pt idx="96">
                  <c:v>4.8392900000000001</c:v>
                </c:pt>
                <c:pt idx="97">
                  <c:v>4.8892899999999999</c:v>
                </c:pt>
                <c:pt idx="98">
                  <c:v>4.9392899999999997</c:v>
                </c:pt>
                <c:pt idx="99">
                  <c:v>4.9892899999999996</c:v>
                </c:pt>
                <c:pt idx="100">
                  <c:v>4.8892899999999999</c:v>
                </c:pt>
                <c:pt idx="101">
                  <c:v>4.7892900000000003</c:v>
                </c:pt>
                <c:pt idx="102">
                  <c:v>4.6892899999999997</c:v>
                </c:pt>
                <c:pt idx="103">
                  <c:v>4.5892900000000001</c:v>
                </c:pt>
                <c:pt idx="104">
                  <c:v>4.4892899999999996</c:v>
                </c:pt>
                <c:pt idx="105">
                  <c:v>4.3892899999999999</c:v>
                </c:pt>
                <c:pt idx="106">
                  <c:v>4.2892900000000003</c:v>
                </c:pt>
                <c:pt idx="107">
                  <c:v>4.1892899999999997</c:v>
                </c:pt>
                <c:pt idx="108">
                  <c:v>4.0892900000000001</c:v>
                </c:pt>
                <c:pt idx="109">
                  <c:v>3.98929</c:v>
                </c:pt>
                <c:pt idx="110">
                  <c:v>3.8892899999999999</c:v>
                </c:pt>
                <c:pt idx="111">
                  <c:v>3.7892899999999998</c:v>
                </c:pt>
                <c:pt idx="112">
                  <c:v>3.6892900000000002</c:v>
                </c:pt>
                <c:pt idx="113">
                  <c:v>3.5892900000000001</c:v>
                </c:pt>
                <c:pt idx="114">
                  <c:v>3.48929</c:v>
                </c:pt>
                <c:pt idx="115">
                  <c:v>3.3892899999999999</c:v>
                </c:pt>
                <c:pt idx="116">
                  <c:v>3.2892899999999998</c:v>
                </c:pt>
                <c:pt idx="117">
                  <c:v>3.1892900000000002</c:v>
                </c:pt>
                <c:pt idx="118">
                  <c:v>3.0892900000000001</c:v>
                </c:pt>
                <c:pt idx="119">
                  <c:v>2.98929</c:v>
                </c:pt>
                <c:pt idx="120">
                  <c:v>2.8892899999999999</c:v>
                </c:pt>
                <c:pt idx="121">
                  <c:v>2.7892899999999998</c:v>
                </c:pt>
                <c:pt idx="122">
                  <c:v>2.6892900000000002</c:v>
                </c:pt>
                <c:pt idx="123">
                  <c:v>2.5892900000000001</c:v>
                </c:pt>
                <c:pt idx="124">
                  <c:v>2.48929</c:v>
                </c:pt>
                <c:pt idx="125">
                  <c:v>2.3892899999999999</c:v>
                </c:pt>
                <c:pt idx="126">
                  <c:v>2.2892899999999998</c:v>
                </c:pt>
                <c:pt idx="127">
                  <c:v>2.1892900000000002</c:v>
                </c:pt>
                <c:pt idx="128">
                  <c:v>2.0892900000000001</c:v>
                </c:pt>
                <c:pt idx="129">
                  <c:v>1.98929</c:v>
                </c:pt>
                <c:pt idx="130">
                  <c:v>1.8892899999999999</c:v>
                </c:pt>
                <c:pt idx="131">
                  <c:v>1.78929</c:v>
                </c:pt>
                <c:pt idx="132">
                  <c:v>1.68929</c:v>
                </c:pt>
                <c:pt idx="133">
                  <c:v>1.5892900000000001</c:v>
                </c:pt>
                <c:pt idx="134">
                  <c:v>1.48929</c:v>
                </c:pt>
                <c:pt idx="135">
                  <c:v>1.3892899999999999</c:v>
                </c:pt>
                <c:pt idx="136">
                  <c:v>1.28929</c:v>
                </c:pt>
                <c:pt idx="137">
                  <c:v>1.18929</c:v>
                </c:pt>
                <c:pt idx="138">
                  <c:v>1.0892900000000001</c:v>
                </c:pt>
                <c:pt idx="139">
                  <c:v>0.98929199999999995</c:v>
                </c:pt>
                <c:pt idx="140">
                  <c:v>0.88929199999999997</c:v>
                </c:pt>
                <c:pt idx="141">
                  <c:v>0.78929199999999999</c:v>
                </c:pt>
                <c:pt idx="142">
                  <c:v>0.68929200000000002</c:v>
                </c:pt>
                <c:pt idx="143">
                  <c:v>0.58929200000000004</c:v>
                </c:pt>
                <c:pt idx="144">
                  <c:v>0.489292</c:v>
                </c:pt>
                <c:pt idx="145">
                  <c:v>0.38929200000000003</c:v>
                </c:pt>
                <c:pt idx="146">
                  <c:v>0.28929199999999999</c:v>
                </c:pt>
                <c:pt idx="147">
                  <c:v>0.18929199999999999</c:v>
                </c:pt>
                <c:pt idx="148">
                  <c:v>8.9292399999999994E-2</c:v>
                </c:pt>
                <c:pt idx="149">
                  <c:v>-1.0707599999999999E-2</c:v>
                </c:pt>
                <c:pt idx="150">
                  <c:v>-0.110708</c:v>
                </c:pt>
                <c:pt idx="151">
                  <c:v>-0.21070800000000001</c:v>
                </c:pt>
                <c:pt idx="152">
                  <c:v>-0.31070799999999998</c:v>
                </c:pt>
                <c:pt idx="153">
                  <c:v>-0.41070800000000002</c:v>
                </c:pt>
                <c:pt idx="154">
                  <c:v>-0.51070800000000005</c:v>
                </c:pt>
                <c:pt idx="155">
                  <c:v>-0.61070800000000003</c:v>
                </c:pt>
                <c:pt idx="156">
                  <c:v>-0.71070800000000001</c:v>
                </c:pt>
                <c:pt idx="157">
                  <c:v>-0.81070799999999998</c:v>
                </c:pt>
                <c:pt idx="158">
                  <c:v>-0.91070799999999996</c:v>
                </c:pt>
                <c:pt idx="159">
                  <c:v>-1.01071</c:v>
                </c:pt>
                <c:pt idx="160">
                  <c:v>-1.1107100000000001</c:v>
                </c:pt>
                <c:pt idx="161">
                  <c:v>-1.21071</c:v>
                </c:pt>
                <c:pt idx="162">
                  <c:v>-1.31071</c:v>
                </c:pt>
                <c:pt idx="163">
                  <c:v>-1.4107099999999999</c:v>
                </c:pt>
                <c:pt idx="164">
                  <c:v>-1.51071</c:v>
                </c:pt>
                <c:pt idx="165">
                  <c:v>-1.6107100000000001</c:v>
                </c:pt>
                <c:pt idx="166">
                  <c:v>-1.71071</c:v>
                </c:pt>
                <c:pt idx="167">
                  <c:v>-1.81071</c:v>
                </c:pt>
                <c:pt idx="168">
                  <c:v>-1.9107099999999999</c:v>
                </c:pt>
                <c:pt idx="169">
                  <c:v>-2.01071</c:v>
                </c:pt>
                <c:pt idx="170">
                  <c:v>-2.1107100000000001</c:v>
                </c:pt>
                <c:pt idx="171">
                  <c:v>-2.2107100000000002</c:v>
                </c:pt>
                <c:pt idx="172">
                  <c:v>-2.3107099999999998</c:v>
                </c:pt>
                <c:pt idx="173">
                  <c:v>-2.4107099999999999</c:v>
                </c:pt>
                <c:pt idx="174">
                  <c:v>-2.51071</c:v>
                </c:pt>
                <c:pt idx="175">
                  <c:v>-2.6107100000000001</c:v>
                </c:pt>
                <c:pt idx="176">
                  <c:v>-2.7107100000000002</c:v>
                </c:pt>
                <c:pt idx="177">
                  <c:v>-2.8107099999999998</c:v>
                </c:pt>
                <c:pt idx="178">
                  <c:v>-2.9107099999999999</c:v>
                </c:pt>
                <c:pt idx="179">
                  <c:v>-3.01071</c:v>
                </c:pt>
                <c:pt idx="180">
                  <c:v>-3.1107100000000001</c:v>
                </c:pt>
                <c:pt idx="181">
                  <c:v>-3.2107100000000002</c:v>
                </c:pt>
                <c:pt idx="182">
                  <c:v>-3.3107099999999998</c:v>
                </c:pt>
                <c:pt idx="183">
                  <c:v>-3.4107099999999999</c:v>
                </c:pt>
                <c:pt idx="184">
                  <c:v>-3.51071</c:v>
                </c:pt>
                <c:pt idx="185">
                  <c:v>-3.6107100000000001</c:v>
                </c:pt>
                <c:pt idx="186">
                  <c:v>-3.7107100000000002</c:v>
                </c:pt>
                <c:pt idx="187">
                  <c:v>-3.8107099999999998</c:v>
                </c:pt>
                <c:pt idx="188">
                  <c:v>-3.9107099999999999</c:v>
                </c:pt>
                <c:pt idx="189">
                  <c:v>-4.0107100000000004</c:v>
                </c:pt>
                <c:pt idx="190">
                  <c:v>-4.1107100000000001</c:v>
                </c:pt>
                <c:pt idx="191">
                  <c:v>-4.2107099999999997</c:v>
                </c:pt>
                <c:pt idx="192">
                  <c:v>-4.3107100000000003</c:v>
                </c:pt>
                <c:pt idx="193">
                  <c:v>-4.4107099999999999</c:v>
                </c:pt>
                <c:pt idx="194">
                  <c:v>-4.5107100000000004</c:v>
                </c:pt>
                <c:pt idx="195">
                  <c:v>-4.6107100000000001</c:v>
                </c:pt>
                <c:pt idx="196">
                  <c:v>-4.7107099999999997</c:v>
                </c:pt>
                <c:pt idx="197">
                  <c:v>-4.8107100000000003</c:v>
                </c:pt>
                <c:pt idx="198">
                  <c:v>-4.9107099999999999</c:v>
                </c:pt>
                <c:pt idx="199">
                  <c:v>-5.0107100000000004</c:v>
                </c:pt>
                <c:pt idx="200">
                  <c:v>-4.8607100000000001</c:v>
                </c:pt>
                <c:pt idx="201">
                  <c:v>-4.7107099999999997</c:v>
                </c:pt>
                <c:pt idx="202">
                  <c:v>-4.5607100000000003</c:v>
                </c:pt>
                <c:pt idx="203">
                  <c:v>-4.4107099999999999</c:v>
                </c:pt>
                <c:pt idx="204">
                  <c:v>-4.2607100000000004</c:v>
                </c:pt>
                <c:pt idx="205">
                  <c:v>-4.1107100000000001</c:v>
                </c:pt>
                <c:pt idx="206">
                  <c:v>-3.9607100000000002</c:v>
                </c:pt>
                <c:pt idx="207">
                  <c:v>-3.8107099999999998</c:v>
                </c:pt>
                <c:pt idx="208">
                  <c:v>-3.6607099999999999</c:v>
                </c:pt>
                <c:pt idx="209">
                  <c:v>-3.51071</c:v>
                </c:pt>
                <c:pt idx="210">
                  <c:v>-3.3607100000000001</c:v>
                </c:pt>
                <c:pt idx="211">
                  <c:v>-3.2107100000000002</c:v>
                </c:pt>
                <c:pt idx="212">
                  <c:v>-3.0607099999999998</c:v>
                </c:pt>
                <c:pt idx="213">
                  <c:v>-2.9107099999999999</c:v>
                </c:pt>
                <c:pt idx="214">
                  <c:v>-2.76071</c:v>
                </c:pt>
                <c:pt idx="215">
                  <c:v>-2.6107100000000001</c:v>
                </c:pt>
                <c:pt idx="216">
                  <c:v>-2.4607100000000002</c:v>
                </c:pt>
                <c:pt idx="217">
                  <c:v>-2.3107099999999998</c:v>
                </c:pt>
                <c:pt idx="218">
                  <c:v>-2.1607099999999999</c:v>
                </c:pt>
                <c:pt idx="219">
                  <c:v>-2.01071</c:v>
                </c:pt>
                <c:pt idx="220">
                  <c:v>-1.8607100000000001</c:v>
                </c:pt>
                <c:pt idx="221">
                  <c:v>-1.71071</c:v>
                </c:pt>
                <c:pt idx="222">
                  <c:v>-1.56071</c:v>
                </c:pt>
                <c:pt idx="223">
                  <c:v>-1.4107099999999999</c:v>
                </c:pt>
                <c:pt idx="224">
                  <c:v>-1.26071</c:v>
                </c:pt>
                <c:pt idx="225">
                  <c:v>-1.1107100000000001</c:v>
                </c:pt>
                <c:pt idx="226">
                  <c:v>-0.96070800000000001</c:v>
                </c:pt>
                <c:pt idx="227">
                  <c:v>-0.81070799999999998</c:v>
                </c:pt>
                <c:pt idx="228">
                  <c:v>-0.66070799999999996</c:v>
                </c:pt>
                <c:pt idx="229">
                  <c:v>-0.51070800000000005</c:v>
                </c:pt>
                <c:pt idx="230">
                  <c:v>-0.36070799999999997</c:v>
                </c:pt>
                <c:pt idx="231">
                  <c:v>-0.21070800000000001</c:v>
                </c:pt>
                <c:pt idx="232">
                  <c:v>-6.07076E-2</c:v>
                </c:pt>
                <c:pt idx="233">
                  <c:v>8.9292399999999994E-2</c:v>
                </c:pt>
                <c:pt idx="234">
                  <c:v>0.239292</c:v>
                </c:pt>
                <c:pt idx="235">
                  <c:v>0.38929200000000003</c:v>
                </c:pt>
                <c:pt idx="236">
                  <c:v>0.53929199999999999</c:v>
                </c:pt>
                <c:pt idx="237">
                  <c:v>0.68929200000000002</c:v>
                </c:pt>
                <c:pt idx="238">
                  <c:v>0.83929200000000004</c:v>
                </c:pt>
                <c:pt idx="239">
                  <c:v>0.98929199999999995</c:v>
                </c:pt>
                <c:pt idx="240">
                  <c:v>1.1392899999999999</c:v>
                </c:pt>
                <c:pt idx="241">
                  <c:v>1.28929</c:v>
                </c:pt>
                <c:pt idx="242">
                  <c:v>1.43929</c:v>
                </c:pt>
                <c:pt idx="243">
                  <c:v>1.5892900000000001</c:v>
                </c:pt>
                <c:pt idx="244">
                  <c:v>1.73929</c:v>
                </c:pt>
                <c:pt idx="245">
                  <c:v>1.8892899999999999</c:v>
                </c:pt>
                <c:pt idx="246">
                  <c:v>2.0392899999999998</c:v>
                </c:pt>
                <c:pt idx="247">
                  <c:v>2.1892900000000002</c:v>
                </c:pt>
                <c:pt idx="248">
                  <c:v>2.3392900000000001</c:v>
                </c:pt>
                <c:pt idx="249">
                  <c:v>2.48929</c:v>
                </c:pt>
                <c:pt idx="250">
                  <c:v>2.6392899999999999</c:v>
                </c:pt>
                <c:pt idx="251">
                  <c:v>2.7892899999999998</c:v>
                </c:pt>
                <c:pt idx="252">
                  <c:v>2.9392900000000002</c:v>
                </c:pt>
                <c:pt idx="253">
                  <c:v>3.0892900000000001</c:v>
                </c:pt>
                <c:pt idx="254">
                  <c:v>3.23929</c:v>
                </c:pt>
                <c:pt idx="255">
                  <c:v>3.3892899999999999</c:v>
                </c:pt>
                <c:pt idx="256">
                  <c:v>3.5392899999999998</c:v>
                </c:pt>
                <c:pt idx="257">
                  <c:v>3.6892900000000002</c:v>
                </c:pt>
                <c:pt idx="258">
                  <c:v>3.8392900000000001</c:v>
                </c:pt>
                <c:pt idx="259">
                  <c:v>3.98929</c:v>
                </c:pt>
                <c:pt idx="260">
                  <c:v>4.1392899999999999</c:v>
                </c:pt>
                <c:pt idx="261">
                  <c:v>4.2892900000000003</c:v>
                </c:pt>
                <c:pt idx="262">
                  <c:v>4.4392899999999997</c:v>
                </c:pt>
                <c:pt idx="263">
                  <c:v>4.5892900000000001</c:v>
                </c:pt>
                <c:pt idx="264">
                  <c:v>4.7392899999999996</c:v>
                </c:pt>
                <c:pt idx="265">
                  <c:v>4.8892899999999999</c:v>
                </c:pt>
                <c:pt idx="266">
                  <c:v>5.0392900000000003</c:v>
                </c:pt>
                <c:pt idx="267">
                  <c:v>5.1892899999999997</c:v>
                </c:pt>
                <c:pt idx="268">
                  <c:v>5.3392900000000001</c:v>
                </c:pt>
                <c:pt idx="269">
                  <c:v>5.4892899999999996</c:v>
                </c:pt>
                <c:pt idx="270">
                  <c:v>5.6392899999999999</c:v>
                </c:pt>
                <c:pt idx="271">
                  <c:v>5.7892900000000003</c:v>
                </c:pt>
                <c:pt idx="272">
                  <c:v>5.9392899999999997</c:v>
                </c:pt>
                <c:pt idx="273">
                  <c:v>6.0892900000000001</c:v>
                </c:pt>
                <c:pt idx="274">
                  <c:v>6.2392899999999996</c:v>
                </c:pt>
                <c:pt idx="275">
                  <c:v>6.3892899999999999</c:v>
                </c:pt>
                <c:pt idx="276">
                  <c:v>6.5392900000000003</c:v>
                </c:pt>
                <c:pt idx="277">
                  <c:v>6.6892899999999997</c:v>
                </c:pt>
                <c:pt idx="278">
                  <c:v>6.8392900000000001</c:v>
                </c:pt>
                <c:pt idx="279">
                  <c:v>6.9892899999999996</c:v>
                </c:pt>
                <c:pt idx="280">
                  <c:v>7.1392899999999999</c:v>
                </c:pt>
                <c:pt idx="281">
                  <c:v>7.2892900000000003</c:v>
                </c:pt>
                <c:pt idx="282">
                  <c:v>7.4392899999999997</c:v>
                </c:pt>
                <c:pt idx="283">
                  <c:v>7.5892900000000001</c:v>
                </c:pt>
                <c:pt idx="284">
                  <c:v>7.7392899999999996</c:v>
                </c:pt>
                <c:pt idx="285">
                  <c:v>7.8892899999999999</c:v>
                </c:pt>
                <c:pt idx="286">
                  <c:v>8.0392899999999994</c:v>
                </c:pt>
                <c:pt idx="287">
                  <c:v>8.1892899999999997</c:v>
                </c:pt>
                <c:pt idx="288">
                  <c:v>8.3392900000000001</c:v>
                </c:pt>
                <c:pt idx="289">
                  <c:v>8.4892900000000004</c:v>
                </c:pt>
                <c:pt idx="290">
                  <c:v>8.6392900000000008</c:v>
                </c:pt>
                <c:pt idx="291">
                  <c:v>8.7892899999999994</c:v>
                </c:pt>
                <c:pt idx="292">
                  <c:v>8.9392899999999997</c:v>
                </c:pt>
                <c:pt idx="293">
                  <c:v>9.0892900000000001</c:v>
                </c:pt>
                <c:pt idx="294">
                  <c:v>9.2392900000000004</c:v>
                </c:pt>
                <c:pt idx="295">
                  <c:v>9.3892900000000008</c:v>
                </c:pt>
                <c:pt idx="296">
                  <c:v>9.5392899999999994</c:v>
                </c:pt>
                <c:pt idx="297">
                  <c:v>9.6892899999999997</c:v>
                </c:pt>
                <c:pt idx="298">
                  <c:v>9.8392900000000001</c:v>
                </c:pt>
                <c:pt idx="299">
                  <c:v>9.9892900000000004</c:v>
                </c:pt>
                <c:pt idx="300">
                  <c:v>9.7892899999999994</c:v>
                </c:pt>
                <c:pt idx="301">
                  <c:v>9.5892900000000001</c:v>
                </c:pt>
                <c:pt idx="302">
                  <c:v>9.3892900000000008</c:v>
                </c:pt>
                <c:pt idx="303">
                  <c:v>9.1892899999999997</c:v>
                </c:pt>
                <c:pt idx="304">
                  <c:v>8.9892900000000004</c:v>
                </c:pt>
                <c:pt idx="305">
                  <c:v>8.7892899999999994</c:v>
                </c:pt>
                <c:pt idx="306">
                  <c:v>8.5892900000000001</c:v>
                </c:pt>
                <c:pt idx="307">
                  <c:v>8.3892900000000008</c:v>
                </c:pt>
                <c:pt idx="308">
                  <c:v>8.1892899999999997</c:v>
                </c:pt>
                <c:pt idx="309">
                  <c:v>7.9892899999999996</c:v>
                </c:pt>
                <c:pt idx="310">
                  <c:v>7.7892900000000003</c:v>
                </c:pt>
                <c:pt idx="311">
                  <c:v>7.5892900000000001</c:v>
                </c:pt>
                <c:pt idx="312">
                  <c:v>7.3892899999999999</c:v>
                </c:pt>
                <c:pt idx="313">
                  <c:v>7.1892899999999997</c:v>
                </c:pt>
                <c:pt idx="314">
                  <c:v>6.9892899999999996</c:v>
                </c:pt>
                <c:pt idx="315">
                  <c:v>6.7892900000000003</c:v>
                </c:pt>
                <c:pt idx="316">
                  <c:v>6.5892900000000001</c:v>
                </c:pt>
                <c:pt idx="317">
                  <c:v>6.3892899999999999</c:v>
                </c:pt>
                <c:pt idx="318">
                  <c:v>6.1892899999999997</c:v>
                </c:pt>
                <c:pt idx="319">
                  <c:v>5.9892899999999996</c:v>
                </c:pt>
                <c:pt idx="320">
                  <c:v>5.7892900000000003</c:v>
                </c:pt>
                <c:pt idx="321">
                  <c:v>5.5892900000000001</c:v>
                </c:pt>
                <c:pt idx="322">
                  <c:v>5.3892899999999999</c:v>
                </c:pt>
                <c:pt idx="323">
                  <c:v>5.1892899999999997</c:v>
                </c:pt>
                <c:pt idx="324">
                  <c:v>4.9892899999999996</c:v>
                </c:pt>
                <c:pt idx="325">
                  <c:v>4.7892900000000003</c:v>
                </c:pt>
                <c:pt idx="326">
                  <c:v>4.5892900000000001</c:v>
                </c:pt>
                <c:pt idx="327">
                  <c:v>4.3892899999999999</c:v>
                </c:pt>
                <c:pt idx="328">
                  <c:v>4.1892899999999997</c:v>
                </c:pt>
                <c:pt idx="329">
                  <c:v>3.98929</c:v>
                </c:pt>
                <c:pt idx="330">
                  <c:v>3.7892899999999998</c:v>
                </c:pt>
                <c:pt idx="331">
                  <c:v>3.5892900000000001</c:v>
                </c:pt>
                <c:pt idx="332">
                  <c:v>3.3892899999999999</c:v>
                </c:pt>
                <c:pt idx="333">
                  <c:v>3.1892900000000002</c:v>
                </c:pt>
                <c:pt idx="334">
                  <c:v>2.98929</c:v>
                </c:pt>
                <c:pt idx="335">
                  <c:v>2.7892899999999998</c:v>
                </c:pt>
                <c:pt idx="336">
                  <c:v>2.5892900000000001</c:v>
                </c:pt>
                <c:pt idx="337">
                  <c:v>2.3892899999999999</c:v>
                </c:pt>
                <c:pt idx="338">
                  <c:v>2.1892900000000002</c:v>
                </c:pt>
                <c:pt idx="339">
                  <c:v>1.98929</c:v>
                </c:pt>
                <c:pt idx="340">
                  <c:v>1.78929</c:v>
                </c:pt>
                <c:pt idx="341">
                  <c:v>1.5892900000000001</c:v>
                </c:pt>
                <c:pt idx="342">
                  <c:v>1.3892899999999999</c:v>
                </c:pt>
                <c:pt idx="343">
                  <c:v>1.18929</c:v>
                </c:pt>
                <c:pt idx="344">
                  <c:v>0.98929199999999995</c:v>
                </c:pt>
                <c:pt idx="345">
                  <c:v>0.78929199999999999</c:v>
                </c:pt>
                <c:pt idx="346">
                  <c:v>0.58929200000000004</c:v>
                </c:pt>
                <c:pt idx="347">
                  <c:v>0.38929200000000003</c:v>
                </c:pt>
                <c:pt idx="348">
                  <c:v>0.18929199999999999</c:v>
                </c:pt>
                <c:pt idx="349">
                  <c:v>-1.0707599999999999E-2</c:v>
                </c:pt>
                <c:pt idx="350">
                  <c:v>-0.21070800000000001</c:v>
                </c:pt>
                <c:pt idx="351">
                  <c:v>-0.41070800000000002</c:v>
                </c:pt>
                <c:pt idx="352">
                  <c:v>-0.61070800000000003</c:v>
                </c:pt>
                <c:pt idx="353">
                  <c:v>-0.81070799999999998</c:v>
                </c:pt>
                <c:pt idx="354">
                  <c:v>-1.01071</c:v>
                </c:pt>
                <c:pt idx="355">
                  <c:v>-1.21071</c:v>
                </c:pt>
                <c:pt idx="356">
                  <c:v>-1.4107099999999999</c:v>
                </c:pt>
                <c:pt idx="357">
                  <c:v>-1.6107100000000001</c:v>
                </c:pt>
                <c:pt idx="358">
                  <c:v>-1.81071</c:v>
                </c:pt>
                <c:pt idx="359">
                  <c:v>-2.01071</c:v>
                </c:pt>
                <c:pt idx="360">
                  <c:v>-2.2107100000000002</c:v>
                </c:pt>
                <c:pt idx="361">
                  <c:v>-2.4107099999999999</c:v>
                </c:pt>
                <c:pt idx="362">
                  <c:v>-2.6107100000000001</c:v>
                </c:pt>
                <c:pt idx="363">
                  <c:v>-2.8107099999999998</c:v>
                </c:pt>
                <c:pt idx="364">
                  <c:v>-3.01071</c:v>
                </c:pt>
                <c:pt idx="365">
                  <c:v>-3.2107100000000002</c:v>
                </c:pt>
                <c:pt idx="366">
                  <c:v>-3.4107099999999999</c:v>
                </c:pt>
                <c:pt idx="367">
                  <c:v>-3.6107100000000001</c:v>
                </c:pt>
                <c:pt idx="368">
                  <c:v>-3.8107099999999998</c:v>
                </c:pt>
                <c:pt idx="369">
                  <c:v>-4.0107100000000004</c:v>
                </c:pt>
                <c:pt idx="370">
                  <c:v>-4.2107099999999997</c:v>
                </c:pt>
                <c:pt idx="371">
                  <c:v>-4.4107099999999999</c:v>
                </c:pt>
                <c:pt idx="372">
                  <c:v>-4.6107100000000001</c:v>
                </c:pt>
                <c:pt idx="373">
                  <c:v>-4.8107100000000003</c:v>
                </c:pt>
                <c:pt idx="374">
                  <c:v>-5.0107100000000004</c:v>
                </c:pt>
                <c:pt idx="375">
                  <c:v>-5.2107099999999997</c:v>
                </c:pt>
                <c:pt idx="376">
                  <c:v>-5.4107099999999999</c:v>
                </c:pt>
                <c:pt idx="377">
                  <c:v>-5.6107100000000001</c:v>
                </c:pt>
                <c:pt idx="378">
                  <c:v>-5.8107100000000003</c:v>
                </c:pt>
                <c:pt idx="379">
                  <c:v>-6.0107100000000004</c:v>
                </c:pt>
                <c:pt idx="380">
                  <c:v>-6.2107099999999997</c:v>
                </c:pt>
                <c:pt idx="381">
                  <c:v>-6.4107099999999999</c:v>
                </c:pt>
                <c:pt idx="382">
                  <c:v>-6.6107100000000001</c:v>
                </c:pt>
                <c:pt idx="383">
                  <c:v>-6.8107100000000003</c:v>
                </c:pt>
                <c:pt idx="384">
                  <c:v>-7.0107100000000004</c:v>
                </c:pt>
                <c:pt idx="385">
                  <c:v>-7.2107099999999997</c:v>
                </c:pt>
                <c:pt idx="386">
                  <c:v>-7.4107099999999999</c:v>
                </c:pt>
                <c:pt idx="387">
                  <c:v>-7.6107100000000001</c:v>
                </c:pt>
                <c:pt idx="388">
                  <c:v>-7.8107100000000003</c:v>
                </c:pt>
                <c:pt idx="389">
                  <c:v>-8.0107099999999996</c:v>
                </c:pt>
                <c:pt idx="390">
                  <c:v>-8.2107100000000006</c:v>
                </c:pt>
                <c:pt idx="391">
                  <c:v>-8.4107099999999999</c:v>
                </c:pt>
                <c:pt idx="392">
                  <c:v>-8.6107099999999992</c:v>
                </c:pt>
                <c:pt idx="393">
                  <c:v>-8.8107100000000003</c:v>
                </c:pt>
                <c:pt idx="394">
                  <c:v>-9.0107099999999996</c:v>
                </c:pt>
                <c:pt idx="395">
                  <c:v>-9.2107100000000006</c:v>
                </c:pt>
                <c:pt idx="396">
                  <c:v>-9.4107099999999999</c:v>
                </c:pt>
                <c:pt idx="397">
                  <c:v>-9.6107099999999992</c:v>
                </c:pt>
                <c:pt idx="398">
                  <c:v>-9.8107100000000003</c:v>
                </c:pt>
                <c:pt idx="399">
                  <c:v>-10.0107</c:v>
                </c:pt>
                <c:pt idx="400">
                  <c:v>-9.7607099999999996</c:v>
                </c:pt>
                <c:pt idx="401">
                  <c:v>-9.5107099999999996</c:v>
                </c:pt>
                <c:pt idx="402">
                  <c:v>-9.2607099999999996</c:v>
                </c:pt>
                <c:pt idx="403">
                  <c:v>-9.0107099999999996</c:v>
                </c:pt>
                <c:pt idx="404">
                  <c:v>-8.7607099999999996</c:v>
                </c:pt>
                <c:pt idx="405">
                  <c:v>-8.5107099999999996</c:v>
                </c:pt>
                <c:pt idx="406">
                  <c:v>-8.2607099999999996</c:v>
                </c:pt>
                <c:pt idx="407">
                  <c:v>-8.0107099999999996</c:v>
                </c:pt>
                <c:pt idx="408">
                  <c:v>-7.7607100000000004</c:v>
                </c:pt>
                <c:pt idx="409">
                  <c:v>-7.5107100000000004</c:v>
                </c:pt>
                <c:pt idx="410">
                  <c:v>-7.2607100000000004</c:v>
                </c:pt>
                <c:pt idx="411">
                  <c:v>-7.0107100000000004</c:v>
                </c:pt>
                <c:pt idx="412">
                  <c:v>-6.7607100000000004</c:v>
                </c:pt>
                <c:pt idx="413">
                  <c:v>-6.5107100000000004</c:v>
                </c:pt>
                <c:pt idx="414">
                  <c:v>-6.2607100000000004</c:v>
                </c:pt>
                <c:pt idx="415">
                  <c:v>-6.0107100000000004</c:v>
                </c:pt>
                <c:pt idx="416">
                  <c:v>-5.7607100000000004</c:v>
                </c:pt>
                <c:pt idx="417">
                  <c:v>-5.5107100000000004</c:v>
                </c:pt>
                <c:pt idx="418">
                  <c:v>-5.2607100000000004</c:v>
                </c:pt>
                <c:pt idx="419">
                  <c:v>-5.0107100000000004</c:v>
                </c:pt>
                <c:pt idx="420">
                  <c:v>-4.7607100000000004</c:v>
                </c:pt>
                <c:pt idx="421">
                  <c:v>-4.5107100000000004</c:v>
                </c:pt>
                <c:pt idx="422">
                  <c:v>-4.2607100000000004</c:v>
                </c:pt>
                <c:pt idx="423">
                  <c:v>-4.0107100000000004</c:v>
                </c:pt>
                <c:pt idx="424">
                  <c:v>-3.76071</c:v>
                </c:pt>
                <c:pt idx="425">
                  <c:v>-3.51071</c:v>
                </c:pt>
                <c:pt idx="426">
                  <c:v>-3.26071</c:v>
                </c:pt>
                <c:pt idx="427">
                  <c:v>-3.01071</c:v>
                </c:pt>
                <c:pt idx="428">
                  <c:v>-2.76071</c:v>
                </c:pt>
                <c:pt idx="429">
                  <c:v>-2.51071</c:v>
                </c:pt>
                <c:pt idx="430">
                  <c:v>-2.26071</c:v>
                </c:pt>
                <c:pt idx="431">
                  <c:v>-2.01071</c:v>
                </c:pt>
                <c:pt idx="432">
                  <c:v>-1.76071</c:v>
                </c:pt>
                <c:pt idx="433">
                  <c:v>-1.51071</c:v>
                </c:pt>
                <c:pt idx="434">
                  <c:v>-1.26071</c:v>
                </c:pt>
                <c:pt idx="435">
                  <c:v>-1.01071</c:v>
                </c:pt>
                <c:pt idx="436">
                  <c:v>-0.76070800000000005</c:v>
                </c:pt>
                <c:pt idx="437">
                  <c:v>-0.51070800000000005</c:v>
                </c:pt>
                <c:pt idx="438">
                  <c:v>-0.260708</c:v>
                </c:pt>
                <c:pt idx="439">
                  <c:v>-1.0707599999999999E-2</c:v>
                </c:pt>
                <c:pt idx="440">
                  <c:v>0.239292</c:v>
                </c:pt>
                <c:pt idx="441">
                  <c:v>0.489292</c:v>
                </c:pt>
                <c:pt idx="442">
                  <c:v>0.73929199999999995</c:v>
                </c:pt>
                <c:pt idx="443">
                  <c:v>0.98929199999999995</c:v>
                </c:pt>
                <c:pt idx="444">
                  <c:v>1.23929</c:v>
                </c:pt>
                <c:pt idx="445">
                  <c:v>1.48929</c:v>
                </c:pt>
                <c:pt idx="446">
                  <c:v>1.73929</c:v>
                </c:pt>
                <c:pt idx="447">
                  <c:v>1.98929</c:v>
                </c:pt>
                <c:pt idx="448">
                  <c:v>2.23929</c:v>
                </c:pt>
                <c:pt idx="449">
                  <c:v>2.48929</c:v>
                </c:pt>
                <c:pt idx="450">
                  <c:v>2.73929</c:v>
                </c:pt>
                <c:pt idx="451">
                  <c:v>2.98929</c:v>
                </c:pt>
                <c:pt idx="452">
                  <c:v>3.23929</c:v>
                </c:pt>
                <c:pt idx="453">
                  <c:v>3.48929</c:v>
                </c:pt>
                <c:pt idx="454">
                  <c:v>3.73929</c:v>
                </c:pt>
                <c:pt idx="455">
                  <c:v>3.98929</c:v>
                </c:pt>
                <c:pt idx="456">
                  <c:v>4.2392899999999996</c:v>
                </c:pt>
                <c:pt idx="457">
                  <c:v>4.4892899999999996</c:v>
                </c:pt>
                <c:pt idx="458">
                  <c:v>4.7392899999999996</c:v>
                </c:pt>
                <c:pt idx="459">
                  <c:v>4.9892899999999996</c:v>
                </c:pt>
                <c:pt idx="460">
                  <c:v>5.2392899999999996</c:v>
                </c:pt>
                <c:pt idx="461">
                  <c:v>5.4892899999999996</c:v>
                </c:pt>
                <c:pt idx="462">
                  <c:v>5.7392899999999996</c:v>
                </c:pt>
                <c:pt idx="463">
                  <c:v>5.9892899999999996</c:v>
                </c:pt>
                <c:pt idx="464">
                  <c:v>6.2392899999999996</c:v>
                </c:pt>
                <c:pt idx="465">
                  <c:v>6.4892899999999996</c:v>
                </c:pt>
                <c:pt idx="466">
                  <c:v>6.7392899999999996</c:v>
                </c:pt>
                <c:pt idx="467">
                  <c:v>6.9892899999999996</c:v>
                </c:pt>
                <c:pt idx="468">
                  <c:v>7.2392899999999996</c:v>
                </c:pt>
                <c:pt idx="469">
                  <c:v>7.4892899999999996</c:v>
                </c:pt>
                <c:pt idx="470">
                  <c:v>7.7392899999999996</c:v>
                </c:pt>
                <c:pt idx="471">
                  <c:v>7.9892899999999996</c:v>
                </c:pt>
                <c:pt idx="472">
                  <c:v>8.2392900000000004</c:v>
                </c:pt>
                <c:pt idx="473">
                  <c:v>8.4892900000000004</c:v>
                </c:pt>
                <c:pt idx="474">
                  <c:v>8.7392900000000004</c:v>
                </c:pt>
                <c:pt idx="475">
                  <c:v>8.9892900000000004</c:v>
                </c:pt>
                <c:pt idx="476">
                  <c:v>9.2392900000000004</c:v>
                </c:pt>
                <c:pt idx="477">
                  <c:v>9.4892900000000004</c:v>
                </c:pt>
                <c:pt idx="478">
                  <c:v>9.7392900000000004</c:v>
                </c:pt>
                <c:pt idx="479">
                  <c:v>9.9892900000000004</c:v>
                </c:pt>
                <c:pt idx="480">
                  <c:v>10.2393</c:v>
                </c:pt>
                <c:pt idx="481">
                  <c:v>10.4893</c:v>
                </c:pt>
                <c:pt idx="482">
                  <c:v>10.7393</c:v>
                </c:pt>
                <c:pt idx="483">
                  <c:v>10.9893</c:v>
                </c:pt>
                <c:pt idx="484">
                  <c:v>11.2393</c:v>
                </c:pt>
                <c:pt idx="485">
                  <c:v>11.4893</c:v>
                </c:pt>
                <c:pt idx="486">
                  <c:v>11.7393</c:v>
                </c:pt>
                <c:pt idx="487">
                  <c:v>11.9893</c:v>
                </c:pt>
                <c:pt idx="488">
                  <c:v>12.2393</c:v>
                </c:pt>
                <c:pt idx="489">
                  <c:v>12.4893</c:v>
                </c:pt>
                <c:pt idx="490">
                  <c:v>12.7393</c:v>
                </c:pt>
                <c:pt idx="491">
                  <c:v>12.9893</c:v>
                </c:pt>
                <c:pt idx="492">
                  <c:v>13.2393</c:v>
                </c:pt>
                <c:pt idx="493">
                  <c:v>13.4893</c:v>
                </c:pt>
                <c:pt idx="494">
                  <c:v>13.7393</c:v>
                </c:pt>
                <c:pt idx="495">
                  <c:v>13.9893</c:v>
                </c:pt>
                <c:pt idx="496">
                  <c:v>14.2393</c:v>
                </c:pt>
                <c:pt idx="497">
                  <c:v>14.4893</c:v>
                </c:pt>
                <c:pt idx="498">
                  <c:v>14.7393</c:v>
                </c:pt>
                <c:pt idx="499">
                  <c:v>14.9893</c:v>
                </c:pt>
                <c:pt idx="500">
                  <c:v>14.689299999999999</c:v>
                </c:pt>
                <c:pt idx="501">
                  <c:v>14.3893</c:v>
                </c:pt>
                <c:pt idx="502">
                  <c:v>14.0893</c:v>
                </c:pt>
                <c:pt idx="503">
                  <c:v>13.789300000000001</c:v>
                </c:pt>
                <c:pt idx="504">
                  <c:v>13.4893</c:v>
                </c:pt>
                <c:pt idx="505">
                  <c:v>13.189299999999999</c:v>
                </c:pt>
                <c:pt idx="506">
                  <c:v>12.8893</c:v>
                </c:pt>
                <c:pt idx="507">
                  <c:v>12.5893</c:v>
                </c:pt>
                <c:pt idx="508">
                  <c:v>12.289300000000001</c:v>
                </c:pt>
                <c:pt idx="509">
                  <c:v>11.9893</c:v>
                </c:pt>
                <c:pt idx="510">
                  <c:v>11.689299999999999</c:v>
                </c:pt>
                <c:pt idx="511">
                  <c:v>11.3893</c:v>
                </c:pt>
                <c:pt idx="512">
                  <c:v>11.0893</c:v>
                </c:pt>
                <c:pt idx="513">
                  <c:v>10.789300000000001</c:v>
                </c:pt>
                <c:pt idx="514">
                  <c:v>10.4893</c:v>
                </c:pt>
                <c:pt idx="515">
                  <c:v>10.189299999999999</c:v>
                </c:pt>
                <c:pt idx="516">
                  <c:v>9.8892900000000008</c:v>
                </c:pt>
                <c:pt idx="517">
                  <c:v>9.5892900000000001</c:v>
                </c:pt>
                <c:pt idx="518">
                  <c:v>9.2892899999999994</c:v>
                </c:pt>
                <c:pt idx="519">
                  <c:v>8.9892900000000004</c:v>
                </c:pt>
                <c:pt idx="520">
                  <c:v>8.6892899999999997</c:v>
                </c:pt>
                <c:pt idx="521">
                  <c:v>8.3892900000000008</c:v>
                </c:pt>
                <c:pt idx="522">
                  <c:v>8.0892900000000001</c:v>
                </c:pt>
                <c:pt idx="523">
                  <c:v>7.7892900000000003</c:v>
                </c:pt>
                <c:pt idx="524">
                  <c:v>7.4892899999999996</c:v>
                </c:pt>
                <c:pt idx="525">
                  <c:v>7.1892899999999997</c:v>
                </c:pt>
                <c:pt idx="526">
                  <c:v>6.8892899999999999</c:v>
                </c:pt>
                <c:pt idx="527">
                  <c:v>6.5892900000000001</c:v>
                </c:pt>
                <c:pt idx="528">
                  <c:v>6.2892900000000003</c:v>
                </c:pt>
                <c:pt idx="529">
                  <c:v>5.9892899999999996</c:v>
                </c:pt>
                <c:pt idx="530">
                  <c:v>5.6892899999999997</c:v>
                </c:pt>
                <c:pt idx="531">
                  <c:v>5.3892899999999999</c:v>
                </c:pt>
                <c:pt idx="532">
                  <c:v>5.0892900000000001</c:v>
                </c:pt>
                <c:pt idx="533">
                  <c:v>4.7892900000000003</c:v>
                </c:pt>
                <c:pt idx="534">
                  <c:v>4.4892899999999996</c:v>
                </c:pt>
                <c:pt idx="535">
                  <c:v>4.1892899999999997</c:v>
                </c:pt>
                <c:pt idx="536">
                  <c:v>3.8892899999999999</c:v>
                </c:pt>
                <c:pt idx="537">
                  <c:v>3.5892900000000001</c:v>
                </c:pt>
                <c:pt idx="538">
                  <c:v>3.2892899999999998</c:v>
                </c:pt>
                <c:pt idx="539">
                  <c:v>2.98929</c:v>
                </c:pt>
                <c:pt idx="540">
                  <c:v>2.6892900000000002</c:v>
                </c:pt>
                <c:pt idx="541">
                  <c:v>2.3892899999999999</c:v>
                </c:pt>
                <c:pt idx="542">
                  <c:v>2.0892900000000001</c:v>
                </c:pt>
                <c:pt idx="543">
                  <c:v>1.78929</c:v>
                </c:pt>
                <c:pt idx="544">
                  <c:v>1.48929</c:v>
                </c:pt>
                <c:pt idx="545">
                  <c:v>1.18929</c:v>
                </c:pt>
                <c:pt idx="546">
                  <c:v>0.88929199999999997</c:v>
                </c:pt>
                <c:pt idx="547">
                  <c:v>0.58929200000000004</c:v>
                </c:pt>
                <c:pt idx="548">
                  <c:v>0.28929199999999999</c:v>
                </c:pt>
                <c:pt idx="549">
                  <c:v>-1.0707599999999999E-2</c:v>
                </c:pt>
                <c:pt idx="550">
                  <c:v>-0.31070799999999998</c:v>
                </c:pt>
                <c:pt idx="551">
                  <c:v>-0.61070800000000003</c:v>
                </c:pt>
                <c:pt idx="552">
                  <c:v>-0.91070799999999996</c:v>
                </c:pt>
                <c:pt idx="553">
                  <c:v>-1.21071</c:v>
                </c:pt>
                <c:pt idx="554">
                  <c:v>-1.51071</c:v>
                </c:pt>
                <c:pt idx="555">
                  <c:v>-1.81071</c:v>
                </c:pt>
                <c:pt idx="556">
                  <c:v>-2.1107100000000001</c:v>
                </c:pt>
                <c:pt idx="557">
                  <c:v>-2.4107099999999999</c:v>
                </c:pt>
                <c:pt idx="558">
                  <c:v>-2.7107100000000002</c:v>
                </c:pt>
                <c:pt idx="559">
                  <c:v>-3.01071</c:v>
                </c:pt>
                <c:pt idx="560">
                  <c:v>-3.3107099999999998</c:v>
                </c:pt>
                <c:pt idx="561">
                  <c:v>-3.6107100000000001</c:v>
                </c:pt>
                <c:pt idx="562">
                  <c:v>-3.9107099999999999</c:v>
                </c:pt>
                <c:pt idx="563">
                  <c:v>-4.2107099999999997</c:v>
                </c:pt>
                <c:pt idx="564">
                  <c:v>-4.5107100000000004</c:v>
                </c:pt>
                <c:pt idx="565">
                  <c:v>-4.8107100000000003</c:v>
                </c:pt>
                <c:pt idx="566">
                  <c:v>-5.1107100000000001</c:v>
                </c:pt>
                <c:pt idx="567">
                  <c:v>-5.4107099999999999</c:v>
                </c:pt>
                <c:pt idx="568">
                  <c:v>-5.7107099999999997</c:v>
                </c:pt>
                <c:pt idx="569">
                  <c:v>-6.0107100000000004</c:v>
                </c:pt>
                <c:pt idx="570">
                  <c:v>-6.3107100000000003</c:v>
                </c:pt>
                <c:pt idx="571">
                  <c:v>-6.6107100000000001</c:v>
                </c:pt>
                <c:pt idx="572">
                  <c:v>-6.9107099999999999</c:v>
                </c:pt>
                <c:pt idx="573">
                  <c:v>-7.2107099999999997</c:v>
                </c:pt>
                <c:pt idx="574">
                  <c:v>-7.5107100000000004</c:v>
                </c:pt>
                <c:pt idx="575">
                  <c:v>-7.8107100000000003</c:v>
                </c:pt>
                <c:pt idx="576">
                  <c:v>-8.1107099999999992</c:v>
                </c:pt>
                <c:pt idx="577">
                  <c:v>-8.4107099999999999</c:v>
                </c:pt>
                <c:pt idx="578">
                  <c:v>-8.7107100000000006</c:v>
                </c:pt>
                <c:pt idx="579">
                  <c:v>-9.0107099999999996</c:v>
                </c:pt>
                <c:pt idx="580">
                  <c:v>-9.3107100000000003</c:v>
                </c:pt>
                <c:pt idx="581">
                  <c:v>-9.6107099999999992</c:v>
                </c:pt>
                <c:pt idx="582">
                  <c:v>-9.9107099999999999</c:v>
                </c:pt>
                <c:pt idx="583">
                  <c:v>-10.210699999999999</c:v>
                </c:pt>
                <c:pt idx="584">
                  <c:v>-10.5107</c:v>
                </c:pt>
                <c:pt idx="585">
                  <c:v>-10.810700000000001</c:v>
                </c:pt>
                <c:pt idx="586">
                  <c:v>-11.1107</c:v>
                </c:pt>
                <c:pt idx="587">
                  <c:v>-11.4107</c:v>
                </c:pt>
                <c:pt idx="588">
                  <c:v>-11.710699999999999</c:v>
                </c:pt>
                <c:pt idx="589">
                  <c:v>-12.0107</c:v>
                </c:pt>
                <c:pt idx="590">
                  <c:v>-12.310700000000001</c:v>
                </c:pt>
                <c:pt idx="591">
                  <c:v>-12.6107</c:v>
                </c:pt>
                <c:pt idx="592">
                  <c:v>-12.9107</c:v>
                </c:pt>
                <c:pt idx="593">
                  <c:v>-13.210699999999999</c:v>
                </c:pt>
                <c:pt idx="594">
                  <c:v>-13.5107</c:v>
                </c:pt>
                <c:pt idx="595">
                  <c:v>-13.810700000000001</c:v>
                </c:pt>
                <c:pt idx="596">
                  <c:v>-14.1107</c:v>
                </c:pt>
                <c:pt idx="597">
                  <c:v>-14.4107</c:v>
                </c:pt>
                <c:pt idx="598">
                  <c:v>-14.710699999999999</c:v>
                </c:pt>
                <c:pt idx="599">
                  <c:v>-15.0107</c:v>
                </c:pt>
                <c:pt idx="600">
                  <c:v>-14.6607</c:v>
                </c:pt>
                <c:pt idx="601">
                  <c:v>-14.310700000000001</c:v>
                </c:pt>
                <c:pt idx="602">
                  <c:v>-13.960699999999999</c:v>
                </c:pt>
                <c:pt idx="603">
                  <c:v>-13.6107</c:v>
                </c:pt>
                <c:pt idx="604">
                  <c:v>-13.2607</c:v>
                </c:pt>
                <c:pt idx="605">
                  <c:v>-12.9107</c:v>
                </c:pt>
                <c:pt idx="606">
                  <c:v>-12.560700000000001</c:v>
                </c:pt>
                <c:pt idx="607">
                  <c:v>-12.210699999999999</c:v>
                </c:pt>
                <c:pt idx="608">
                  <c:v>-11.8607</c:v>
                </c:pt>
                <c:pt idx="609">
                  <c:v>-11.5107</c:v>
                </c:pt>
                <c:pt idx="610">
                  <c:v>-11.1607</c:v>
                </c:pt>
                <c:pt idx="611">
                  <c:v>-10.810700000000001</c:v>
                </c:pt>
                <c:pt idx="612">
                  <c:v>-10.460699999999999</c:v>
                </c:pt>
                <c:pt idx="613">
                  <c:v>-10.1107</c:v>
                </c:pt>
                <c:pt idx="614">
                  <c:v>-9.7607099999999996</c:v>
                </c:pt>
                <c:pt idx="615">
                  <c:v>-9.4107099999999999</c:v>
                </c:pt>
                <c:pt idx="616">
                  <c:v>-9.0607100000000003</c:v>
                </c:pt>
                <c:pt idx="617">
                  <c:v>-8.7107100000000006</c:v>
                </c:pt>
                <c:pt idx="618">
                  <c:v>-8.3607099999999992</c:v>
                </c:pt>
                <c:pt idx="619">
                  <c:v>-8.0107099999999996</c:v>
                </c:pt>
                <c:pt idx="620">
                  <c:v>-7.6607099999999999</c:v>
                </c:pt>
                <c:pt idx="621">
                  <c:v>-7.3107100000000003</c:v>
                </c:pt>
                <c:pt idx="622">
                  <c:v>-6.9607099999999997</c:v>
                </c:pt>
                <c:pt idx="623">
                  <c:v>-6.6107100000000001</c:v>
                </c:pt>
                <c:pt idx="624">
                  <c:v>-6.2607100000000004</c:v>
                </c:pt>
                <c:pt idx="625">
                  <c:v>-5.9107099999999999</c:v>
                </c:pt>
                <c:pt idx="626">
                  <c:v>-5.5607100000000003</c:v>
                </c:pt>
                <c:pt idx="627">
                  <c:v>-5.2107099999999997</c:v>
                </c:pt>
                <c:pt idx="628">
                  <c:v>-4.8607100000000001</c:v>
                </c:pt>
                <c:pt idx="629">
                  <c:v>-4.5107100000000004</c:v>
                </c:pt>
                <c:pt idx="630">
                  <c:v>-4.1607099999999999</c:v>
                </c:pt>
                <c:pt idx="631">
                  <c:v>-3.8107099999999998</c:v>
                </c:pt>
                <c:pt idx="632">
                  <c:v>-3.4607100000000002</c:v>
                </c:pt>
                <c:pt idx="633">
                  <c:v>-3.1107100000000001</c:v>
                </c:pt>
                <c:pt idx="634">
                  <c:v>-2.76071</c:v>
                </c:pt>
                <c:pt idx="635">
                  <c:v>-2.4107099999999999</c:v>
                </c:pt>
                <c:pt idx="636">
                  <c:v>-2.0607099999999998</c:v>
                </c:pt>
                <c:pt idx="637">
                  <c:v>-1.71071</c:v>
                </c:pt>
                <c:pt idx="638">
                  <c:v>-1.3607100000000001</c:v>
                </c:pt>
                <c:pt idx="639">
                  <c:v>-1.01071</c:v>
                </c:pt>
                <c:pt idx="640">
                  <c:v>-0.66070799999999996</c:v>
                </c:pt>
                <c:pt idx="641">
                  <c:v>-0.31070799999999998</c:v>
                </c:pt>
                <c:pt idx="642">
                  <c:v>3.9292399999999998E-2</c:v>
                </c:pt>
                <c:pt idx="643">
                  <c:v>0.38929200000000003</c:v>
                </c:pt>
                <c:pt idx="644">
                  <c:v>0.73929199999999995</c:v>
                </c:pt>
                <c:pt idx="645">
                  <c:v>1.0892900000000001</c:v>
                </c:pt>
                <c:pt idx="646">
                  <c:v>1.43929</c:v>
                </c:pt>
                <c:pt idx="647">
                  <c:v>1.78929</c:v>
                </c:pt>
                <c:pt idx="648">
                  <c:v>2.1392899999999999</c:v>
                </c:pt>
                <c:pt idx="649">
                  <c:v>2.48929</c:v>
                </c:pt>
                <c:pt idx="650">
                  <c:v>2.8392900000000001</c:v>
                </c:pt>
                <c:pt idx="651">
                  <c:v>3.1892900000000002</c:v>
                </c:pt>
                <c:pt idx="652">
                  <c:v>3.5392899999999998</c:v>
                </c:pt>
                <c:pt idx="653">
                  <c:v>3.8892899999999999</c:v>
                </c:pt>
                <c:pt idx="654">
                  <c:v>4.2392899999999996</c:v>
                </c:pt>
                <c:pt idx="655">
                  <c:v>4.5892900000000001</c:v>
                </c:pt>
                <c:pt idx="656">
                  <c:v>4.9392899999999997</c:v>
                </c:pt>
                <c:pt idx="657">
                  <c:v>5.2892900000000003</c:v>
                </c:pt>
                <c:pt idx="658">
                  <c:v>5.6392899999999999</c:v>
                </c:pt>
                <c:pt idx="659">
                  <c:v>5.9892899999999996</c:v>
                </c:pt>
                <c:pt idx="660">
                  <c:v>6.3392900000000001</c:v>
                </c:pt>
                <c:pt idx="661">
                  <c:v>6.6892899999999997</c:v>
                </c:pt>
                <c:pt idx="662">
                  <c:v>7.0392900000000003</c:v>
                </c:pt>
                <c:pt idx="663">
                  <c:v>7.3892899999999999</c:v>
                </c:pt>
                <c:pt idx="664">
                  <c:v>7.7392899999999996</c:v>
                </c:pt>
                <c:pt idx="665">
                  <c:v>8.0892900000000001</c:v>
                </c:pt>
                <c:pt idx="666">
                  <c:v>8.4392899999999997</c:v>
                </c:pt>
                <c:pt idx="667">
                  <c:v>8.7892899999999994</c:v>
                </c:pt>
                <c:pt idx="668">
                  <c:v>9.1392900000000008</c:v>
                </c:pt>
                <c:pt idx="669">
                  <c:v>9.4892900000000004</c:v>
                </c:pt>
                <c:pt idx="670">
                  <c:v>9.8392900000000001</c:v>
                </c:pt>
                <c:pt idx="671">
                  <c:v>10.189299999999999</c:v>
                </c:pt>
                <c:pt idx="672">
                  <c:v>10.539300000000001</c:v>
                </c:pt>
                <c:pt idx="673">
                  <c:v>10.8893</c:v>
                </c:pt>
                <c:pt idx="674">
                  <c:v>11.2393</c:v>
                </c:pt>
                <c:pt idx="675">
                  <c:v>11.5893</c:v>
                </c:pt>
                <c:pt idx="676">
                  <c:v>11.939299999999999</c:v>
                </c:pt>
                <c:pt idx="677">
                  <c:v>12.289300000000001</c:v>
                </c:pt>
                <c:pt idx="678">
                  <c:v>12.6393</c:v>
                </c:pt>
                <c:pt idx="679">
                  <c:v>12.9893</c:v>
                </c:pt>
                <c:pt idx="680">
                  <c:v>13.3393</c:v>
                </c:pt>
                <c:pt idx="681">
                  <c:v>13.689299999999999</c:v>
                </c:pt>
                <c:pt idx="682">
                  <c:v>14.039300000000001</c:v>
                </c:pt>
                <c:pt idx="683">
                  <c:v>14.3893</c:v>
                </c:pt>
                <c:pt idx="684">
                  <c:v>14.7393</c:v>
                </c:pt>
                <c:pt idx="685">
                  <c:v>15.0893</c:v>
                </c:pt>
                <c:pt idx="686">
                  <c:v>15.439299999999999</c:v>
                </c:pt>
                <c:pt idx="687">
                  <c:v>15.789300000000001</c:v>
                </c:pt>
                <c:pt idx="688">
                  <c:v>16.139299999999999</c:v>
                </c:pt>
                <c:pt idx="689">
                  <c:v>16.4893</c:v>
                </c:pt>
                <c:pt idx="690">
                  <c:v>16.839300000000001</c:v>
                </c:pt>
                <c:pt idx="691">
                  <c:v>17.189299999999999</c:v>
                </c:pt>
                <c:pt idx="692">
                  <c:v>17.539300000000001</c:v>
                </c:pt>
                <c:pt idx="693">
                  <c:v>17.889299999999999</c:v>
                </c:pt>
                <c:pt idx="694">
                  <c:v>18.2393</c:v>
                </c:pt>
                <c:pt idx="695">
                  <c:v>18.589300000000001</c:v>
                </c:pt>
                <c:pt idx="696">
                  <c:v>18.939299999999999</c:v>
                </c:pt>
                <c:pt idx="697">
                  <c:v>19.289300000000001</c:v>
                </c:pt>
                <c:pt idx="698">
                  <c:v>19.639299999999999</c:v>
                </c:pt>
                <c:pt idx="699">
                  <c:v>19.9893</c:v>
                </c:pt>
                <c:pt idx="700">
                  <c:v>19.589300000000001</c:v>
                </c:pt>
                <c:pt idx="701">
                  <c:v>19.189299999999999</c:v>
                </c:pt>
                <c:pt idx="702">
                  <c:v>18.789300000000001</c:v>
                </c:pt>
                <c:pt idx="703">
                  <c:v>18.389299999999999</c:v>
                </c:pt>
                <c:pt idx="704">
                  <c:v>17.9893</c:v>
                </c:pt>
                <c:pt idx="705">
                  <c:v>17.589300000000001</c:v>
                </c:pt>
                <c:pt idx="706">
                  <c:v>17.189299999999999</c:v>
                </c:pt>
                <c:pt idx="707">
                  <c:v>16.789300000000001</c:v>
                </c:pt>
                <c:pt idx="708">
                  <c:v>16.389299999999999</c:v>
                </c:pt>
                <c:pt idx="709">
                  <c:v>15.9893</c:v>
                </c:pt>
                <c:pt idx="710">
                  <c:v>15.5893</c:v>
                </c:pt>
                <c:pt idx="711">
                  <c:v>15.189299999999999</c:v>
                </c:pt>
                <c:pt idx="712">
                  <c:v>14.789300000000001</c:v>
                </c:pt>
                <c:pt idx="713">
                  <c:v>14.3893</c:v>
                </c:pt>
                <c:pt idx="714">
                  <c:v>13.9893</c:v>
                </c:pt>
                <c:pt idx="715">
                  <c:v>13.5893</c:v>
                </c:pt>
                <c:pt idx="716">
                  <c:v>13.189299999999999</c:v>
                </c:pt>
                <c:pt idx="717">
                  <c:v>12.789300000000001</c:v>
                </c:pt>
                <c:pt idx="718">
                  <c:v>12.3893</c:v>
                </c:pt>
                <c:pt idx="719">
                  <c:v>11.9893</c:v>
                </c:pt>
                <c:pt idx="720">
                  <c:v>11.5893</c:v>
                </c:pt>
                <c:pt idx="721">
                  <c:v>11.189299999999999</c:v>
                </c:pt>
                <c:pt idx="722">
                  <c:v>10.789300000000001</c:v>
                </c:pt>
                <c:pt idx="723">
                  <c:v>10.3893</c:v>
                </c:pt>
                <c:pt idx="724">
                  <c:v>9.9892900000000004</c:v>
                </c:pt>
                <c:pt idx="725">
                  <c:v>9.5892900000000001</c:v>
                </c:pt>
                <c:pt idx="726">
                  <c:v>9.1892899999999997</c:v>
                </c:pt>
                <c:pt idx="727">
                  <c:v>8.7892899999999994</c:v>
                </c:pt>
                <c:pt idx="728">
                  <c:v>8.3892900000000008</c:v>
                </c:pt>
                <c:pt idx="729">
                  <c:v>7.9892899999999996</c:v>
                </c:pt>
                <c:pt idx="730">
                  <c:v>7.5892900000000001</c:v>
                </c:pt>
                <c:pt idx="731">
                  <c:v>7.1892899999999997</c:v>
                </c:pt>
                <c:pt idx="732">
                  <c:v>6.7892900000000003</c:v>
                </c:pt>
                <c:pt idx="733">
                  <c:v>6.3892899999999999</c:v>
                </c:pt>
                <c:pt idx="734">
                  <c:v>5.9892899999999996</c:v>
                </c:pt>
                <c:pt idx="735">
                  <c:v>5.5892900000000001</c:v>
                </c:pt>
                <c:pt idx="736">
                  <c:v>5.1892899999999997</c:v>
                </c:pt>
                <c:pt idx="737">
                  <c:v>4.7892900000000003</c:v>
                </c:pt>
                <c:pt idx="738">
                  <c:v>4.3892899999999999</c:v>
                </c:pt>
                <c:pt idx="739">
                  <c:v>3.98929</c:v>
                </c:pt>
                <c:pt idx="740">
                  <c:v>3.5892900000000001</c:v>
                </c:pt>
                <c:pt idx="741">
                  <c:v>3.1892900000000002</c:v>
                </c:pt>
                <c:pt idx="742">
                  <c:v>2.7892899999999998</c:v>
                </c:pt>
                <c:pt idx="743">
                  <c:v>2.3892899999999999</c:v>
                </c:pt>
                <c:pt idx="744">
                  <c:v>1.98929</c:v>
                </c:pt>
                <c:pt idx="745">
                  <c:v>1.5892900000000001</c:v>
                </c:pt>
                <c:pt idx="746">
                  <c:v>1.18929</c:v>
                </c:pt>
                <c:pt idx="747">
                  <c:v>0.78929199999999999</c:v>
                </c:pt>
                <c:pt idx="748">
                  <c:v>0.38929200000000003</c:v>
                </c:pt>
                <c:pt idx="749">
                  <c:v>-1.0707599999999999E-2</c:v>
                </c:pt>
                <c:pt idx="750">
                  <c:v>-0.41070800000000002</c:v>
                </c:pt>
                <c:pt idx="751">
                  <c:v>-0.81070799999999998</c:v>
                </c:pt>
                <c:pt idx="752">
                  <c:v>-1.21071</c:v>
                </c:pt>
                <c:pt idx="753">
                  <c:v>-1.6107100000000001</c:v>
                </c:pt>
                <c:pt idx="754">
                  <c:v>-2.01071</c:v>
                </c:pt>
                <c:pt idx="755">
                  <c:v>-2.4107099999999999</c:v>
                </c:pt>
                <c:pt idx="756">
                  <c:v>-2.8107099999999998</c:v>
                </c:pt>
                <c:pt idx="757">
                  <c:v>-3.2107100000000002</c:v>
                </c:pt>
                <c:pt idx="758">
                  <c:v>-3.6107100000000001</c:v>
                </c:pt>
                <c:pt idx="759">
                  <c:v>-4.0107100000000004</c:v>
                </c:pt>
                <c:pt idx="760">
                  <c:v>-4.4107099999999999</c:v>
                </c:pt>
                <c:pt idx="761">
                  <c:v>-4.8107100000000003</c:v>
                </c:pt>
                <c:pt idx="762">
                  <c:v>-5.2107099999999997</c:v>
                </c:pt>
                <c:pt idx="763">
                  <c:v>-5.6107100000000001</c:v>
                </c:pt>
                <c:pt idx="764">
                  <c:v>-6.0107100000000004</c:v>
                </c:pt>
                <c:pt idx="765">
                  <c:v>-6.4107099999999999</c:v>
                </c:pt>
                <c:pt idx="766">
                  <c:v>-6.8107100000000003</c:v>
                </c:pt>
                <c:pt idx="767">
                  <c:v>-7.2107099999999997</c:v>
                </c:pt>
                <c:pt idx="768">
                  <c:v>-7.6107100000000001</c:v>
                </c:pt>
                <c:pt idx="769">
                  <c:v>-8.0107099999999996</c:v>
                </c:pt>
                <c:pt idx="770">
                  <c:v>-8.4107099999999999</c:v>
                </c:pt>
                <c:pt idx="771">
                  <c:v>-8.8107100000000003</c:v>
                </c:pt>
                <c:pt idx="772">
                  <c:v>-9.2107100000000006</c:v>
                </c:pt>
                <c:pt idx="773">
                  <c:v>-9.6107099999999992</c:v>
                </c:pt>
                <c:pt idx="774">
                  <c:v>-10.0107</c:v>
                </c:pt>
                <c:pt idx="775">
                  <c:v>-10.4107</c:v>
                </c:pt>
                <c:pt idx="776">
                  <c:v>-10.810700000000001</c:v>
                </c:pt>
                <c:pt idx="777">
                  <c:v>-11.210699999999999</c:v>
                </c:pt>
                <c:pt idx="778">
                  <c:v>-11.6107</c:v>
                </c:pt>
                <c:pt idx="779">
                  <c:v>-12.0107</c:v>
                </c:pt>
                <c:pt idx="780">
                  <c:v>-12.4107</c:v>
                </c:pt>
                <c:pt idx="781">
                  <c:v>-12.810700000000001</c:v>
                </c:pt>
                <c:pt idx="782">
                  <c:v>-13.210699999999999</c:v>
                </c:pt>
                <c:pt idx="783">
                  <c:v>-13.6107</c:v>
                </c:pt>
                <c:pt idx="784">
                  <c:v>-14.0107</c:v>
                </c:pt>
                <c:pt idx="785">
                  <c:v>-14.4107</c:v>
                </c:pt>
                <c:pt idx="786">
                  <c:v>-14.810700000000001</c:v>
                </c:pt>
                <c:pt idx="787">
                  <c:v>-15.210699999999999</c:v>
                </c:pt>
                <c:pt idx="788">
                  <c:v>-15.6107</c:v>
                </c:pt>
                <c:pt idx="789">
                  <c:v>-16.0107</c:v>
                </c:pt>
                <c:pt idx="790">
                  <c:v>-16.410699999999999</c:v>
                </c:pt>
                <c:pt idx="791">
                  <c:v>-16.810700000000001</c:v>
                </c:pt>
                <c:pt idx="792">
                  <c:v>-17.210699999999999</c:v>
                </c:pt>
                <c:pt idx="793">
                  <c:v>-17.610700000000001</c:v>
                </c:pt>
                <c:pt idx="794">
                  <c:v>-18.0107</c:v>
                </c:pt>
                <c:pt idx="795">
                  <c:v>-18.410699999999999</c:v>
                </c:pt>
                <c:pt idx="796">
                  <c:v>-18.810700000000001</c:v>
                </c:pt>
                <c:pt idx="797">
                  <c:v>-19.210699999999999</c:v>
                </c:pt>
                <c:pt idx="798">
                  <c:v>-19.610700000000001</c:v>
                </c:pt>
                <c:pt idx="799">
                  <c:v>-20.0107</c:v>
                </c:pt>
                <c:pt idx="800">
                  <c:v>-19.560700000000001</c:v>
                </c:pt>
                <c:pt idx="801">
                  <c:v>-19.110700000000001</c:v>
                </c:pt>
                <c:pt idx="802">
                  <c:v>-18.660699999999999</c:v>
                </c:pt>
                <c:pt idx="803">
                  <c:v>-18.210699999999999</c:v>
                </c:pt>
                <c:pt idx="804">
                  <c:v>-17.7607</c:v>
                </c:pt>
                <c:pt idx="805">
                  <c:v>-17.310700000000001</c:v>
                </c:pt>
                <c:pt idx="806">
                  <c:v>-16.860700000000001</c:v>
                </c:pt>
                <c:pt idx="807">
                  <c:v>-16.410699999999999</c:v>
                </c:pt>
                <c:pt idx="808">
                  <c:v>-15.960699999999999</c:v>
                </c:pt>
                <c:pt idx="809">
                  <c:v>-15.5107</c:v>
                </c:pt>
                <c:pt idx="810">
                  <c:v>-15.060700000000001</c:v>
                </c:pt>
                <c:pt idx="811">
                  <c:v>-14.6107</c:v>
                </c:pt>
                <c:pt idx="812">
                  <c:v>-14.1607</c:v>
                </c:pt>
                <c:pt idx="813">
                  <c:v>-13.710699999999999</c:v>
                </c:pt>
                <c:pt idx="814">
                  <c:v>-13.2607</c:v>
                </c:pt>
                <c:pt idx="815">
                  <c:v>-12.810700000000001</c:v>
                </c:pt>
                <c:pt idx="816">
                  <c:v>-12.3607</c:v>
                </c:pt>
                <c:pt idx="817">
                  <c:v>-11.9107</c:v>
                </c:pt>
                <c:pt idx="818">
                  <c:v>-11.460699999999999</c:v>
                </c:pt>
                <c:pt idx="819">
                  <c:v>-11.0107</c:v>
                </c:pt>
                <c:pt idx="820">
                  <c:v>-10.560700000000001</c:v>
                </c:pt>
                <c:pt idx="821">
                  <c:v>-10.1107</c:v>
                </c:pt>
                <c:pt idx="822">
                  <c:v>-9.6607099999999999</c:v>
                </c:pt>
                <c:pt idx="823">
                  <c:v>-9.2107100000000006</c:v>
                </c:pt>
                <c:pt idx="824">
                  <c:v>-8.7607099999999996</c:v>
                </c:pt>
                <c:pt idx="825">
                  <c:v>-8.3107100000000003</c:v>
                </c:pt>
                <c:pt idx="826">
                  <c:v>-7.8607100000000001</c:v>
                </c:pt>
                <c:pt idx="827">
                  <c:v>-7.4107099999999999</c:v>
                </c:pt>
                <c:pt idx="828">
                  <c:v>-6.9607099999999997</c:v>
                </c:pt>
                <c:pt idx="829">
                  <c:v>-6.5107100000000004</c:v>
                </c:pt>
                <c:pt idx="830">
                  <c:v>-6.0607100000000003</c:v>
                </c:pt>
                <c:pt idx="831">
                  <c:v>-5.6107100000000001</c:v>
                </c:pt>
                <c:pt idx="832">
                  <c:v>-5.1607099999999999</c:v>
                </c:pt>
                <c:pt idx="833">
                  <c:v>-4.7107099999999997</c:v>
                </c:pt>
                <c:pt idx="834">
                  <c:v>-4.2607100000000004</c:v>
                </c:pt>
                <c:pt idx="835">
                  <c:v>-3.8107099999999998</c:v>
                </c:pt>
                <c:pt idx="836">
                  <c:v>-3.3607100000000001</c:v>
                </c:pt>
                <c:pt idx="837">
                  <c:v>-2.9107099999999999</c:v>
                </c:pt>
                <c:pt idx="838">
                  <c:v>-2.4607100000000002</c:v>
                </c:pt>
                <c:pt idx="839">
                  <c:v>-2.01071</c:v>
                </c:pt>
                <c:pt idx="840">
                  <c:v>-1.56071</c:v>
                </c:pt>
                <c:pt idx="841">
                  <c:v>-1.1107100000000001</c:v>
                </c:pt>
                <c:pt idx="842">
                  <c:v>-0.66070799999999996</c:v>
                </c:pt>
                <c:pt idx="843">
                  <c:v>-0.21070800000000001</c:v>
                </c:pt>
                <c:pt idx="844">
                  <c:v>0.239292</c:v>
                </c:pt>
                <c:pt idx="845">
                  <c:v>0.68929200000000002</c:v>
                </c:pt>
                <c:pt idx="846">
                  <c:v>1.1392899999999999</c:v>
                </c:pt>
                <c:pt idx="847">
                  <c:v>1.5892900000000001</c:v>
                </c:pt>
                <c:pt idx="848">
                  <c:v>2.0392899999999998</c:v>
                </c:pt>
                <c:pt idx="849">
                  <c:v>2.48929</c:v>
                </c:pt>
                <c:pt idx="850">
                  <c:v>2.9392900000000002</c:v>
                </c:pt>
                <c:pt idx="851">
                  <c:v>3.3892899999999999</c:v>
                </c:pt>
                <c:pt idx="852">
                  <c:v>3.8392900000000001</c:v>
                </c:pt>
                <c:pt idx="853">
                  <c:v>4.2892900000000003</c:v>
                </c:pt>
                <c:pt idx="854">
                  <c:v>4.7392899999999996</c:v>
                </c:pt>
                <c:pt idx="855">
                  <c:v>5.1892899999999997</c:v>
                </c:pt>
                <c:pt idx="856">
                  <c:v>5.6392899999999999</c:v>
                </c:pt>
                <c:pt idx="857">
                  <c:v>6.0892900000000001</c:v>
                </c:pt>
                <c:pt idx="858">
                  <c:v>6.5392900000000003</c:v>
                </c:pt>
                <c:pt idx="859">
                  <c:v>6.9892899999999996</c:v>
                </c:pt>
                <c:pt idx="860">
                  <c:v>7.4392899999999997</c:v>
                </c:pt>
                <c:pt idx="861">
                  <c:v>7.8892899999999999</c:v>
                </c:pt>
                <c:pt idx="862">
                  <c:v>8.3392900000000001</c:v>
                </c:pt>
                <c:pt idx="863">
                  <c:v>8.7892899999999994</c:v>
                </c:pt>
                <c:pt idx="864">
                  <c:v>9.2392900000000004</c:v>
                </c:pt>
                <c:pt idx="865">
                  <c:v>9.6892899999999997</c:v>
                </c:pt>
                <c:pt idx="866">
                  <c:v>10.1393</c:v>
                </c:pt>
                <c:pt idx="867">
                  <c:v>10.5893</c:v>
                </c:pt>
                <c:pt idx="868">
                  <c:v>11.039300000000001</c:v>
                </c:pt>
                <c:pt idx="869">
                  <c:v>11.4893</c:v>
                </c:pt>
                <c:pt idx="870">
                  <c:v>11.939299999999999</c:v>
                </c:pt>
                <c:pt idx="871">
                  <c:v>12.3893</c:v>
                </c:pt>
                <c:pt idx="872">
                  <c:v>12.8393</c:v>
                </c:pt>
                <c:pt idx="873">
                  <c:v>13.289300000000001</c:v>
                </c:pt>
                <c:pt idx="874">
                  <c:v>13.7393</c:v>
                </c:pt>
                <c:pt idx="875">
                  <c:v>14.189299999999999</c:v>
                </c:pt>
                <c:pt idx="876">
                  <c:v>14.6393</c:v>
                </c:pt>
                <c:pt idx="877">
                  <c:v>15.0893</c:v>
                </c:pt>
                <c:pt idx="878">
                  <c:v>15.539300000000001</c:v>
                </c:pt>
                <c:pt idx="879">
                  <c:v>15.9893</c:v>
                </c:pt>
                <c:pt idx="880">
                  <c:v>16.439299999999999</c:v>
                </c:pt>
                <c:pt idx="881">
                  <c:v>16.889299999999999</c:v>
                </c:pt>
                <c:pt idx="882">
                  <c:v>17.339300000000001</c:v>
                </c:pt>
                <c:pt idx="883">
                  <c:v>17.789300000000001</c:v>
                </c:pt>
                <c:pt idx="884">
                  <c:v>18.2393</c:v>
                </c:pt>
                <c:pt idx="885">
                  <c:v>18.689299999999999</c:v>
                </c:pt>
                <c:pt idx="886">
                  <c:v>19.139299999999999</c:v>
                </c:pt>
                <c:pt idx="887">
                  <c:v>19.589300000000001</c:v>
                </c:pt>
                <c:pt idx="888">
                  <c:v>20.039300000000001</c:v>
                </c:pt>
                <c:pt idx="889">
                  <c:v>20.4893</c:v>
                </c:pt>
                <c:pt idx="890">
                  <c:v>20.939299999999999</c:v>
                </c:pt>
                <c:pt idx="891">
                  <c:v>21.389299999999999</c:v>
                </c:pt>
                <c:pt idx="892">
                  <c:v>21.839300000000001</c:v>
                </c:pt>
                <c:pt idx="893">
                  <c:v>22.289300000000001</c:v>
                </c:pt>
                <c:pt idx="894">
                  <c:v>22.7393</c:v>
                </c:pt>
                <c:pt idx="895">
                  <c:v>23.189299999999999</c:v>
                </c:pt>
                <c:pt idx="896">
                  <c:v>23.639299999999999</c:v>
                </c:pt>
                <c:pt idx="897">
                  <c:v>24.089300000000001</c:v>
                </c:pt>
                <c:pt idx="898">
                  <c:v>24.539300000000001</c:v>
                </c:pt>
                <c:pt idx="899">
                  <c:v>24.9893</c:v>
                </c:pt>
                <c:pt idx="900">
                  <c:v>24.4893</c:v>
                </c:pt>
                <c:pt idx="901">
                  <c:v>23.9893</c:v>
                </c:pt>
                <c:pt idx="902">
                  <c:v>23.4893</c:v>
                </c:pt>
                <c:pt idx="903">
                  <c:v>22.9893</c:v>
                </c:pt>
                <c:pt idx="904">
                  <c:v>22.4893</c:v>
                </c:pt>
                <c:pt idx="905">
                  <c:v>21.9893</c:v>
                </c:pt>
                <c:pt idx="906">
                  <c:v>21.4893</c:v>
                </c:pt>
                <c:pt idx="907">
                  <c:v>20.9893</c:v>
                </c:pt>
                <c:pt idx="908">
                  <c:v>20.4893</c:v>
                </c:pt>
                <c:pt idx="909">
                  <c:v>19.9893</c:v>
                </c:pt>
                <c:pt idx="910">
                  <c:v>19.4893</c:v>
                </c:pt>
                <c:pt idx="911">
                  <c:v>18.9893</c:v>
                </c:pt>
                <c:pt idx="912">
                  <c:v>18.4893</c:v>
                </c:pt>
                <c:pt idx="913">
                  <c:v>17.9893</c:v>
                </c:pt>
                <c:pt idx="914">
                  <c:v>17.4893</c:v>
                </c:pt>
                <c:pt idx="915">
                  <c:v>16.9893</c:v>
                </c:pt>
                <c:pt idx="916">
                  <c:v>16.4893</c:v>
                </c:pt>
                <c:pt idx="917">
                  <c:v>15.9893</c:v>
                </c:pt>
                <c:pt idx="918">
                  <c:v>15.4893</c:v>
                </c:pt>
                <c:pt idx="919">
                  <c:v>14.9893</c:v>
                </c:pt>
                <c:pt idx="920">
                  <c:v>14.4893</c:v>
                </c:pt>
                <c:pt idx="921">
                  <c:v>13.9893</c:v>
                </c:pt>
                <c:pt idx="922">
                  <c:v>13.4893</c:v>
                </c:pt>
                <c:pt idx="923">
                  <c:v>12.9893</c:v>
                </c:pt>
                <c:pt idx="924">
                  <c:v>12.4893</c:v>
                </c:pt>
                <c:pt idx="925">
                  <c:v>11.9893</c:v>
                </c:pt>
                <c:pt idx="926">
                  <c:v>11.4893</c:v>
                </c:pt>
                <c:pt idx="927">
                  <c:v>10.9893</c:v>
                </c:pt>
                <c:pt idx="928">
                  <c:v>10.4893</c:v>
                </c:pt>
                <c:pt idx="929">
                  <c:v>9.9892900000000004</c:v>
                </c:pt>
                <c:pt idx="930">
                  <c:v>9.4892900000000004</c:v>
                </c:pt>
                <c:pt idx="931">
                  <c:v>8.9892900000000004</c:v>
                </c:pt>
                <c:pt idx="932">
                  <c:v>8.4892900000000004</c:v>
                </c:pt>
                <c:pt idx="933">
                  <c:v>7.9892899999999996</c:v>
                </c:pt>
                <c:pt idx="934">
                  <c:v>7.4892899999999996</c:v>
                </c:pt>
                <c:pt idx="935">
                  <c:v>6.9892899999999996</c:v>
                </c:pt>
                <c:pt idx="936">
                  <c:v>6.4892899999999996</c:v>
                </c:pt>
                <c:pt idx="937">
                  <c:v>5.9892899999999996</c:v>
                </c:pt>
                <c:pt idx="938">
                  <c:v>5.4892899999999996</c:v>
                </c:pt>
                <c:pt idx="939">
                  <c:v>4.9892899999999996</c:v>
                </c:pt>
                <c:pt idx="940">
                  <c:v>4.4892899999999996</c:v>
                </c:pt>
                <c:pt idx="941">
                  <c:v>3.98929</c:v>
                </c:pt>
                <c:pt idx="942">
                  <c:v>3.48929</c:v>
                </c:pt>
                <c:pt idx="943">
                  <c:v>2.98929</c:v>
                </c:pt>
                <c:pt idx="944">
                  <c:v>2.48929</c:v>
                </c:pt>
                <c:pt idx="945">
                  <c:v>1.98929</c:v>
                </c:pt>
                <c:pt idx="946">
                  <c:v>1.48929</c:v>
                </c:pt>
                <c:pt idx="947">
                  <c:v>0.98929199999999995</c:v>
                </c:pt>
                <c:pt idx="948">
                  <c:v>0.489292</c:v>
                </c:pt>
                <c:pt idx="949">
                  <c:v>-1.0707599999999999E-2</c:v>
                </c:pt>
                <c:pt idx="950">
                  <c:v>-0.51070800000000005</c:v>
                </c:pt>
                <c:pt idx="951">
                  <c:v>-1.01071</c:v>
                </c:pt>
                <c:pt idx="952">
                  <c:v>-1.51071</c:v>
                </c:pt>
                <c:pt idx="953">
                  <c:v>-2.01071</c:v>
                </c:pt>
                <c:pt idx="954">
                  <c:v>-2.51071</c:v>
                </c:pt>
                <c:pt idx="955">
                  <c:v>-3.01071</c:v>
                </c:pt>
                <c:pt idx="956">
                  <c:v>-3.51071</c:v>
                </c:pt>
                <c:pt idx="957">
                  <c:v>-4.0107100000000004</c:v>
                </c:pt>
                <c:pt idx="958">
                  <c:v>-4.5107100000000004</c:v>
                </c:pt>
                <c:pt idx="959">
                  <c:v>-5.0107100000000004</c:v>
                </c:pt>
                <c:pt idx="960">
                  <c:v>-5.5107100000000004</c:v>
                </c:pt>
                <c:pt idx="961">
                  <c:v>-6.0107100000000004</c:v>
                </c:pt>
                <c:pt idx="962">
                  <c:v>-6.5107100000000004</c:v>
                </c:pt>
                <c:pt idx="963">
                  <c:v>-7.0107100000000004</c:v>
                </c:pt>
                <c:pt idx="964">
                  <c:v>-7.5107100000000004</c:v>
                </c:pt>
                <c:pt idx="965">
                  <c:v>-8.0107099999999996</c:v>
                </c:pt>
                <c:pt idx="966">
                  <c:v>-8.5107099999999996</c:v>
                </c:pt>
                <c:pt idx="967">
                  <c:v>-9.0107099999999996</c:v>
                </c:pt>
                <c:pt idx="968">
                  <c:v>-9.5107099999999996</c:v>
                </c:pt>
                <c:pt idx="969">
                  <c:v>-10.0107</c:v>
                </c:pt>
                <c:pt idx="970">
                  <c:v>-10.5107</c:v>
                </c:pt>
                <c:pt idx="971">
                  <c:v>-11.0107</c:v>
                </c:pt>
                <c:pt idx="972">
                  <c:v>-11.5107</c:v>
                </c:pt>
                <c:pt idx="973">
                  <c:v>-12.0107</c:v>
                </c:pt>
                <c:pt idx="974">
                  <c:v>-12.5107</c:v>
                </c:pt>
                <c:pt idx="975">
                  <c:v>-13.0107</c:v>
                </c:pt>
                <c:pt idx="976">
                  <c:v>-13.5107</c:v>
                </c:pt>
                <c:pt idx="977">
                  <c:v>-14.0107</c:v>
                </c:pt>
                <c:pt idx="978">
                  <c:v>-14.5107</c:v>
                </c:pt>
                <c:pt idx="979">
                  <c:v>-15.0107</c:v>
                </c:pt>
                <c:pt idx="980">
                  <c:v>-15.5107</c:v>
                </c:pt>
                <c:pt idx="981">
                  <c:v>-16.0107</c:v>
                </c:pt>
                <c:pt idx="982">
                  <c:v>-16.5107</c:v>
                </c:pt>
                <c:pt idx="983">
                  <c:v>-17.0107</c:v>
                </c:pt>
                <c:pt idx="984">
                  <c:v>-17.5107</c:v>
                </c:pt>
                <c:pt idx="985">
                  <c:v>-18.0107</c:v>
                </c:pt>
                <c:pt idx="986">
                  <c:v>-18.5107</c:v>
                </c:pt>
                <c:pt idx="987">
                  <c:v>-19.0107</c:v>
                </c:pt>
                <c:pt idx="988">
                  <c:v>-19.5107</c:v>
                </c:pt>
                <c:pt idx="989">
                  <c:v>-20.0107</c:v>
                </c:pt>
                <c:pt idx="990">
                  <c:v>-20.5107</c:v>
                </c:pt>
                <c:pt idx="991">
                  <c:v>-21.0107</c:v>
                </c:pt>
                <c:pt idx="992">
                  <c:v>-21.5107</c:v>
                </c:pt>
                <c:pt idx="993">
                  <c:v>-22.0107</c:v>
                </c:pt>
                <c:pt idx="994">
                  <c:v>-22.5107</c:v>
                </c:pt>
                <c:pt idx="995">
                  <c:v>-23.0107</c:v>
                </c:pt>
                <c:pt idx="996">
                  <c:v>-23.5107</c:v>
                </c:pt>
                <c:pt idx="997">
                  <c:v>-24.0107</c:v>
                </c:pt>
                <c:pt idx="998">
                  <c:v>-24.5107</c:v>
                </c:pt>
                <c:pt idx="999">
                  <c:v>-25.0107</c:v>
                </c:pt>
              </c:numCache>
            </c:numRef>
          </c:xVal>
          <c:yVal>
            <c:numRef>
              <c:f>Result!$G$1:$G$5000</c:f>
              <c:numCache>
                <c:formatCode>General</c:formatCode>
                <c:ptCount val="5000"/>
                <c:pt idx="0">
                  <c:v>0.41206900000000002</c:v>
                </c:pt>
                <c:pt idx="1">
                  <c:v>0.44226900000000002</c:v>
                </c:pt>
                <c:pt idx="2">
                  <c:v>0.55122599999999999</c:v>
                </c:pt>
                <c:pt idx="3">
                  <c:v>0.699241</c:v>
                </c:pt>
                <c:pt idx="4">
                  <c:v>0.86646199999999995</c:v>
                </c:pt>
                <c:pt idx="5">
                  <c:v>1.0429600000000001</c:v>
                </c:pt>
                <c:pt idx="6">
                  <c:v>1.2237800000000001</c:v>
                </c:pt>
                <c:pt idx="7">
                  <c:v>1.40642</c:v>
                </c:pt>
                <c:pt idx="8">
                  <c:v>1.5896600000000001</c:v>
                </c:pt>
                <c:pt idx="9">
                  <c:v>1.77285</c:v>
                </c:pt>
                <c:pt idx="10">
                  <c:v>1.9557</c:v>
                </c:pt>
                <c:pt idx="11">
                  <c:v>2.1380400000000002</c:v>
                </c:pt>
                <c:pt idx="12">
                  <c:v>2.3197899999999998</c:v>
                </c:pt>
                <c:pt idx="13">
                  <c:v>2.5009100000000002</c:v>
                </c:pt>
                <c:pt idx="14">
                  <c:v>2.6813699999999998</c:v>
                </c:pt>
                <c:pt idx="15">
                  <c:v>2.8611800000000001</c:v>
                </c:pt>
                <c:pt idx="16">
                  <c:v>3.0402999999999998</c:v>
                </c:pt>
                <c:pt idx="17">
                  <c:v>3.21875</c:v>
                </c:pt>
                <c:pt idx="18">
                  <c:v>3.3965100000000001</c:v>
                </c:pt>
                <c:pt idx="19">
                  <c:v>3.5735800000000002</c:v>
                </c:pt>
                <c:pt idx="20">
                  <c:v>3.7499600000000002</c:v>
                </c:pt>
                <c:pt idx="21">
                  <c:v>3.9256500000000001</c:v>
                </c:pt>
                <c:pt idx="22">
                  <c:v>4.1006299999999998</c:v>
                </c:pt>
                <c:pt idx="23">
                  <c:v>4.2749199999999998</c:v>
                </c:pt>
                <c:pt idx="24">
                  <c:v>4.4484899999999996</c:v>
                </c:pt>
                <c:pt idx="25">
                  <c:v>4.6213499999999996</c:v>
                </c:pt>
                <c:pt idx="26">
                  <c:v>4.7934999999999999</c:v>
                </c:pt>
                <c:pt idx="27">
                  <c:v>4.9649299999999998</c:v>
                </c:pt>
                <c:pt idx="28">
                  <c:v>5.1356400000000004</c:v>
                </c:pt>
                <c:pt idx="29">
                  <c:v>5.3056200000000002</c:v>
                </c:pt>
                <c:pt idx="30">
                  <c:v>5.4748700000000001</c:v>
                </c:pt>
                <c:pt idx="31">
                  <c:v>5.6433799999999996</c:v>
                </c:pt>
                <c:pt idx="32">
                  <c:v>5.8111600000000001</c:v>
                </c:pt>
                <c:pt idx="33">
                  <c:v>5.9781899999999997</c:v>
                </c:pt>
                <c:pt idx="34">
                  <c:v>6.1444799999999997</c:v>
                </c:pt>
                <c:pt idx="35">
                  <c:v>6.3100100000000001</c:v>
                </c:pt>
                <c:pt idx="36">
                  <c:v>6.4747899999999996</c:v>
                </c:pt>
                <c:pt idx="37">
                  <c:v>6.6388100000000003</c:v>
                </c:pt>
                <c:pt idx="38">
                  <c:v>6.80206</c:v>
                </c:pt>
                <c:pt idx="39">
                  <c:v>6.9645400000000004</c:v>
                </c:pt>
                <c:pt idx="40">
                  <c:v>7.1262400000000001</c:v>
                </c:pt>
                <c:pt idx="41">
                  <c:v>7.2871699999999997</c:v>
                </c:pt>
                <c:pt idx="42">
                  <c:v>7.4473099999999999</c:v>
                </c:pt>
                <c:pt idx="43">
                  <c:v>7.6066599999999998</c:v>
                </c:pt>
                <c:pt idx="44">
                  <c:v>7.7652200000000002</c:v>
                </c:pt>
                <c:pt idx="45">
                  <c:v>7.9229700000000003</c:v>
                </c:pt>
                <c:pt idx="46">
                  <c:v>8.0799199999999995</c:v>
                </c:pt>
                <c:pt idx="47">
                  <c:v>8.2360600000000002</c:v>
                </c:pt>
                <c:pt idx="48">
                  <c:v>8.3913899999999995</c:v>
                </c:pt>
                <c:pt idx="49">
                  <c:v>8.54589</c:v>
                </c:pt>
                <c:pt idx="50">
                  <c:v>8.69956</c:v>
                </c:pt>
                <c:pt idx="51">
                  <c:v>8.8523999999999994</c:v>
                </c:pt>
                <c:pt idx="52">
                  <c:v>9.0043900000000008</c:v>
                </c:pt>
                <c:pt idx="53">
                  <c:v>9.1555499999999999</c:v>
                </c:pt>
                <c:pt idx="54">
                  <c:v>9.3058399999999999</c:v>
                </c:pt>
                <c:pt idx="55">
                  <c:v>9.4552899999999998</c:v>
                </c:pt>
                <c:pt idx="56">
                  <c:v>9.6038599999999992</c:v>
                </c:pt>
                <c:pt idx="57">
                  <c:v>9.7515599999999996</c:v>
                </c:pt>
                <c:pt idx="58">
                  <c:v>9.8983899999999991</c:v>
                </c:pt>
                <c:pt idx="59">
                  <c:v>10.0443</c:v>
                </c:pt>
                <c:pt idx="60">
                  <c:v>10.189399999999999</c:v>
                </c:pt>
                <c:pt idx="61">
                  <c:v>10.333500000000001</c:v>
                </c:pt>
                <c:pt idx="62">
                  <c:v>10.476699999999999</c:v>
                </c:pt>
                <c:pt idx="63">
                  <c:v>10.6191</c:v>
                </c:pt>
                <c:pt idx="64">
                  <c:v>10.7605</c:v>
                </c:pt>
                <c:pt idx="65">
                  <c:v>10.9009</c:v>
                </c:pt>
                <c:pt idx="66">
                  <c:v>11.0404</c:v>
                </c:pt>
                <c:pt idx="67">
                  <c:v>11.179</c:v>
                </c:pt>
                <c:pt idx="68">
                  <c:v>11.316599999999999</c:v>
                </c:pt>
                <c:pt idx="69">
                  <c:v>11.453200000000001</c:v>
                </c:pt>
                <c:pt idx="70">
                  <c:v>11.588900000000001</c:v>
                </c:pt>
                <c:pt idx="71">
                  <c:v>11.723599999999999</c:v>
                </c:pt>
                <c:pt idx="72">
                  <c:v>11.857200000000001</c:v>
                </c:pt>
                <c:pt idx="73">
                  <c:v>11.9899</c:v>
                </c:pt>
                <c:pt idx="74">
                  <c:v>12.121600000000001</c:v>
                </c:pt>
                <c:pt idx="75">
                  <c:v>12.2522</c:v>
                </c:pt>
                <c:pt idx="76">
                  <c:v>12.3817</c:v>
                </c:pt>
                <c:pt idx="77">
                  <c:v>12.510300000000001</c:v>
                </c:pt>
                <c:pt idx="78">
                  <c:v>12.637700000000001</c:v>
                </c:pt>
                <c:pt idx="79">
                  <c:v>12.7639</c:v>
                </c:pt>
                <c:pt idx="80">
                  <c:v>12.8887</c:v>
                </c:pt>
                <c:pt idx="81">
                  <c:v>13.0116</c:v>
                </c:pt>
                <c:pt idx="82">
                  <c:v>13.133100000000001</c:v>
                </c:pt>
                <c:pt idx="83">
                  <c:v>13.253399999999999</c:v>
                </c:pt>
                <c:pt idx="84">
                  <c:v>13.372299999999999</c:v>
                </c:pt>
                <c:pt idx="85">
                  <c:v>13.4892</c:v>
                </c:pt>
                <c:pt idx="86">
                  <c:v>13.6045</c:v>
                </c:pt>
                <c:pt idx="87">
                  <c:v>13.7173</c:v>
                </c:pt>
                <c:pt idx="88">
                  <c:v>13.8248</c:v>
                </c:pt>
                <c:pt idx="89">
                  <c:v>13.9305</c:v>
                </c:pt>
                <c:pt idx="90">
                  <c:v>14.0343</c:v>
                </c:pt>
                <c:pt idx="91">
                  <c:v>14.1365</c:v>
                </c:pt>
                <c:pt idx="92">
                  <c:v>14.237299999999999</c:v>
                </c:pt>
                <c:pt idx="93">
                  <c:v>14.3368</c:v>
                </c:pt>
                <c:pt idx="94">
                  <c:v>14.4346</c:v>
                </c:pt>
                <c:pt idx="95">
                  <c:v>14.530200000000001</c:v>
                </c:pt>
                <c:pt idx="96">
                  <c:v>14.6244</c:v>
                </c:pt>
                <c:pt idx="97">
                  <c:v>14.716900000000001</c:v>
                </c:pt>
                <c:pt idx="98">
                  <c:v>14.806100000000001</c:v>
                </c:pt>
                <c:pt idx="99">
                  <c:v>14.8917</c:v>
                </c:pt>
                <c:pt idx="100">
                  <c:v>14.5229</c:v>
                </c:pt>
                <c:pt idx="101">
                  <c:v>14.103199999999999</c:v>
                </c:pt>
                <c:pt idx="102">
                  <c:v>13.681699999999999</c:v>
                </c:pt>
                <c:pt idx="103">
                  <c:v>13.2592</c:v>
                </c:pt>
                <c:pt idx="104">
                  <c:v>12.836499999999999</c:v>
                </c:pt>
                <c:pt idx="105">
                  <c:v>12.4132</c:v>
                </c:pt>
                <c:pt idx="106">
                  <c:v>11.9879</c:v>
                </c:pt>
                <c:pt idx="107">
                  <c:v>11.560600000000001</c:v>
                </c:pt>
                <c:pt idx="108">
                  <c:v>11.1328</c:v>
                </c:pt>
                <c:pt idx="109">
                  <c:v>10.7049</c:v>
                </c:pt>
                <c:pt idx="110">
                  <c:v>10.277100000000001</c:v>
                </c:pt>
                <c:pt idx="111">
                  <c:v>9.84924</c:v>
                </c:pt>
                <c:pt idx="112">
                  <c:v>9.4214400000000005</c:v>
                </c:pt>
                <c:pt idx="113">
                  <c:v>8.9936600000000002</c:v>
                </c:pt>
                <c:pt idx="114">
                  <c:v>8.5659100000000006</c:v>
                </c:pt>
                <c:pt idx="115">
                  <c:v>8.1382399999999997</c:v>
                </c:pt>
                <c:pt idx="116">
                  <c:v>7.7106500000000002</c:v>
                </c:pt>
                <c:pt idx="117">
                  <c:v>7.2831200000000003</c:v>
                </c:pt>
                <c:pt idx="118">
                  <c:v>6.85562</c:v>
                </c:pt>
                <c:pt idx="119">
                  <c:v>6.4281699999999997</c:v>
                </c:pt>
                <c:pt idx="120">
                  <c:v>6.0008499999999998</c:v>
                </c:pt>
                <c:pt idx="121">
                  <c:v>5.57369</c:v>
                </c:pt>
                <c:pt idx="122">
                  <c:v>5.1467000000000001</c:v>
                </c:pt>
                <c:pt idx="123">
                  <c:v>4.7198799999999999</c:v>
                </c:pt>
                <c:pt idx="124">
                  <c:v>4.2931999999999997</c:v>
                </c:pt>
                <c:pt idx="125">
                  <c:v>3.8670300000000002</c:v>
                </c:pt>
                <c:pt idx="126">
                  <c:v>3.4411399999999999</c:v>
                </c:pt>
                <c:pt idx="127">
                  <c:v>3.0156299999999998</c:v>
                </c:pt>
                <c:pt idx="128">
                  <c:v>2.5905100000000001</c:v>
                </c:pt>
                <c:pt idx="129">
                  <c:v>2.1661700000000002</c:v>
                </c:pt>
                <c:pt idx="130">
                  <c:v>1.74254</c:v>
                </c:pt>
                <c:pt idx="131">
                  <c:v>1.32037</c:v>
                </c:pt>
                <c:pt idx="132">
                  <c:v>0.89926099999999998</c:v>
                </c:pt>
                <c:pt idx="133">
                  <c:v>0.47975899999999999</c:v>
                </c:pt>
                <c:pt idx="134">
                  <c:v>6.3525100000000001E-2</c:v>
                </c:pt>
                <c:pt idx="135">
                  <c:v>-0.350414</c:v>
                </c:pt>
                <c:pt idx="136">
                  <c:v>-0.75890100000000005</c:v>
                </c:pt>
                <c:pt idx="137">
                  <c:v>-1.1609400000000001</c:v>
                </c:pt>
                <c:pt idx="138">
                  <c:v>-1.5531999999999999</c:v>
                </c:pt>
                <c:pt idx="139">
                  <c:v>-1.9321999999999999</c:v>
                </c:pt>
                <c:pt idx="140">
                  <c:v>-2.29956</c:v>
                </c:pt>
                <c:pt idx="141">
                  <c:v>-2.6568999999999998</c:v>
                </c:pt>
                <c:pt idx="142">
                  <c:v>-3.0102099999999998</c:v>
                </c:pt>
                <c:pt idx="143">
                  <c:v>-3.3599899999999998</c:v>
                </c:pt>
                <c:pt idx="144">
                  <c:v>-3.7083300000000001</c:v>
                </c:pt>
                <c:pt idx="145">
                  <c:v>-4.0552599999999996</c:v>
                </c:pt>
                <c:pt idx="146">
                  <c:v>-4.4008000000000003</c:v>
                </c:pt>
                <c:pt idx="147">
                  <c:v>-4.7449500000000002</c:v>
                </c:pt>
                <c:pt idx="148">
                  <c:v>-5.0876700000000001</c:v>
                </c:pt>
                <c:pt idx="149">
                  <c:v>-5.4289699999999996</c:v>
                </c:pt>
                <c:pt idx="150">
                  <c:v>-5.7688300000000003</c:v>
                </c:pt>
                <c:pt idx="151">
                  <c:v>-6.10724</c:v>
                </c:pt>
                <c:pt idx="152">
                  <c:v>-6.4441899999999999</c:v>
                </c:pt>
                <c:pt idx="153">
                  <c:v>-6.7796500000000002</c:v>
                </c:pt>
                <c:pt idx="154">
                  <c:v>-7.1136100000000004</c:v>
                </c:pt>
                <c:pt idx="155">
                  <c:v>-7.4460600000000001</c:v>
                </c:pt>
                <c:pt idx="156">
                  <c:v>-7.77698</c:v>
                </c:pt>
                <c:pt idx="157">
                  <c:v>-8.1063500000000008</c:v>
                </c:pt>
                <c:pt idx="158">
                  <c:v>-8.4333799999999997</c:v>
                </c:pt>
                <c:pt idx="159">
                  <c:v>-8.7576199999999993</c:v>
                </c:pt>
                <c:pt idx="160">
                  <c:v>-9.0795200000000005</c:v>
                </c:pt>
                <c:pt idx="161">
                  <c:v>-9.3985599999999998</c:v>
                </c:pt>
                <c:pt idx="162">
                  <c:v>-9.7130899999999993</c:v>
                </c:pt>
                <c:pt idx="163">
                  <c:v>-10.0206</c:v>
                </c:pt>
                <c:pt idx="164">
                  <c:v>-10.3245</c:v>
                </c:pt>
                <c:pt idx="165">
                  <c:v>-10.621600000000001</c:v>
                </c:pt>
                <c:pt idx="166">
                  <c:v>-10.9148</c:v>
                </c:pt>
                <c:pt idx="167">
                  <c:v>-11.201499999999999</c:v>
                </c:pt>
                <c:pt idx="168">
                  <c:v>-11.4824</c:v>
                </c:pt>
                <c:pt idx="169">
                  <c:v>-11.7591</c:v>
                </c:pt>
                <c:pt idx="170">
                  <c:v>-12.03</c:v>
                </c:pt>
                <c:pt idx="171">
                  <c:v>-12.295999999999999</c:v>
                </c:pt>
                <c:pt idx="172">
                  <c:v>-12.5579</c:v>
                </c:pt>
                <c:pt idx="173">
                  <c:v>-12.8133</c:v>
                </c:pt>
                <c:pt idx="174">
                  <c:v>-13.0625</c:v>
                </c:pt>
                <c:pt idx="175">
                  <c:v>-13.3086</c:v>
                </c:pt>
                <c:pt idx="176">
                  <c:v>-13.549300000000001</c:v>
                </c:pt>
                <c:pt idx="177">
                  <c:v>-13.7844</c:v>
                </c:pt>
                <c:pt idx="178">
                  <c:v>-14.015599999999999</c:v>
                </c:pt>
                <c:pt idx="179">
                  <c:v>-14.2431</c:v>
                </c:pt>
                <c:pt idx="180">
                  <c:v>-14.464700000000001</c:v>
                </c:pt>
                <c:pt idx="181">
                  <c:v>-14.681800000000001</c:v>
                </c:pt>
                <c:pt idx="182">
                  <c:v>-14.8939</c:v>
                </c:pt>
                <c:pt idx="183">
                  <c:v>-15.102499999999999</c:v>
                </c:pt>
                <c:pt idx="184">
                  <c:v>-15.307499999999999</c:v>
                </c:pt>
                <c:pt idx="185">
                  <c:v>-15.508599999999999</c:v>
                </c:pt>
                <c:pt idx="186">
                  <c:v>-15.7052</c:v>
                </c:pt>
                <c:pt idx="187">
                  <c:v>-15.8964</c:v>
                </c:pt>
                <c:pt idx="188">
                  <c:v>-16.0825</c:v>
                </c:pt>
                <c:pt idx="189">
                  <c:v>-16.264500000000002</c:v>
                </c:pt>
                <c:pt idx="190">
                  <c:v>-16.441800000000001</c:v>
                </c:pt>
                <c:pt idx="191">
                  <c:v>-16.613099999999999</c:v>
                </c:pt>
                <c:pt idx="192">
                  <c:v>-16.7803</c:v>
                </c:pt>
                <c:pt idx="193">
                  <c:v>-16.943999999999999</c:v>
                </c:pt>
                <c:pt idx="194">
                  <c:v>-17.104800000000001</c:v>
                </c:pt>
                <c:pt idx="195">
                  <c:v>-17.2624</c:v>
                </c:pt>
                <c:pt idx="196">
                  <c:v>-17.415400000000002</c:v>
                </c:pt>
                <c:pt idx="197">
                  <c:v>-17.560500000000001</c:v>
                </c:pt>
                <c:pt idx="198">
                  <c:v>-17.698599999999999</c:v>
                </c:pt>
                <c:pt idx="199">
                  <c:v>-17.831199999999999</c:v>
                </c:pt>
                <c:pt idx="200">
                  <c:v>-17.458600000000001</c:v>
                </c:pt>
                <c:pt idx="201">
                  <c:v>-17.076699999999999</c:v>
                </c:pt>
                <c:pt idx="202">
                  <c:v>-16.686199999999999</c:v>
                </c:pt>
                <c:pt idx="203">
                  <c:v>-16.291699999999999</c:v>
                </c:pt>
                <c:pt idx="204">
                  <c:v>-15.888400000000001</c:v>
                </c:pt>
                <c:pt idx="205">
                  <c:v>-15.470700000000001</c:v>
                </c:pt>
                <c:pt idx="206">
                  <c:v>-15.0458</c:v>
                </c:pt>
                <c:pt idx="207">
                  <c:v>-14.6073</c:v>
                </c:pt>
                <c:pt idx="208">
                  <c:v>-14.158799999999999</c:v>
                </c:pt>
                <c:pt idx="209">
                  <c:v>-13.7057</c:v>
                </c:pt>
                <c:pt idx="210">
                  <c:v>-13.2448</c:v>
                </c:pt>
                <c:pt idx="211">
                  <c:v>-12.7728</c:v>
                </c:pt>
                <c:pt idx="212">
                  <c:v>-12.292999999999999</c:v>
                </c:pt>
                <c:pt idx="213">
                  <c:v>-11.8011</c:v>
                </c:pt>
                <c:pt idx="214">
                  <c:v>-11.2997</c:v>
                </c:pt>
                <c:pt idx="215">
                  <c:v>-10.788500000000001</c:v>
                </c:pt>
                <c:pt idx="216">
                  <c:v>-10.267099999999999</c:v>
                </c:pt>
                <c:pt idx="217">
                  <c:v>-9.73902</c:v>
                </c:pt>
                <c:pt idx="218">
                  <c:v>-9.2012699999999992</c:v>
                </c:pt>
                <c:pt idx="219">
                  <c:v>-8.6552100000000003</c:v>
                </c:pt>
                <c:pt idx="220">
                  <c:v>-8.0998999999999999</c:v>
                </c:pt>
                <c:pt idx="221">
                  <c:v>-7.5337500000000004</c:v>
                </c:pt>
                <c:pt idx="222">
                  <c:v>-6.9598199999999997</c:v>
                </c:pt>
                <c:pt idx="223">
                  <c:v>-6.3749200000000004</c:v>
                </c:pt>
                <c:pt idx="224">
                  <c:v>-5.7872899999999996</c:v>
                </c:pt>
                <c:pt idx="225">
                  <c:v>-5.1977399999999996</c:v>
                </c:pt>
                <c:pt idx="226">
                  <c:v>-4.6055599999999997</c:v>
                </c:pt>
                <c:pt idx="227">
                  <c:v>-4.0105300000000002</c:v>
                </c:pt>
                <c:pt idx="228">
                  <c:v>-3.4149799999999999</c:v>
                </c:pt>
                <c:pt idx="229">
                  <c:v>-2.8194300000000001</c:v>
                </c:pt>
                <c:pt idx="230">
                  <c:v>-2.2239300000000002</c:v>
                </c:pt>
                <c:pt idx="231">
                  <c:v>-1.62846</c:v>
                </c:pt>
                <c:pt idx="232">
                  <c:v>-1.03302</c:v>
                </c:pt>
                <c:pt idx="233">
                  <c:v>-0.43759900000000002</c:v>
                </c:pt>
                <c:pt idx="234">
                  <c:v>0.15779499999999999</c:v>
                </c:pt>
                <c:pt idx="235">
                  <c:v>0.75315299999999996</c:v>
                </c:pt>
                <c:pt idx="236">
                  <c:v>1.34846</c:v>
                </c:pt>
                <c:pt idx="237">
                  <c:v>1.9437</c:v>
                </c:pt>
                <c:pt idx="238">
                  <c:v>2.5388700000000002</c:v>
                </c:pt>
                <c:pt idx="239">
                  <c:v>3.1339899999999998</c:v>
                </c:pt>
                <c:pt idx="240">
                  <c:v>3.72906</c:v>
                </c:pt>
                <c:pt idx="241">
                  <c:v>4.3240800000000004</c:v>
                </c:pt>
                <c:pt idx="242">
                  <c:v>4.9190100000000001</c:v>
                </c:pt>
                <c:pt idx="243">
                  <c:v>5.5138699999999998</c:v>
                </c:pt>
                <c:pt idx="244">
                  <c:v>6.1085500000000001</c:v>
                </c:pt>
                <c:pt idx="245">
                  <c:v>6.7030399999999997</c:v>
                </c:pt>
                <c:pt idx="246">
                  <c:v>7.2972900000000003</c:v>
                </c:pt>
                <c:pt idx="247">
                  <c:v>7.8912100000000001</c:v>
                </c:pt>
                <c:pt idx="248">
                  <c:v>8.4847800000000007</c:v>
                </c:pt>
                <c:pt idx="249">
                  <c:v>9.0778999999999996</c:v>
                </c:pt>
                <c:pt idx="250">
                  <c:v>9.6703299999999999</c:v>
                </c:pt>
                <c:pt idx="251">
                  <c:v>10.2597</c:v>
                </c:pt>
                <c:pt idx="252">
                  <c:v>10.8452</c:v>
                </c:pt>
                <c:pt idx="253">
                  <c:v>11.428000000000001</c:v>
                </c:pt>
                <c:pt idx="254">
                  <c:v>12.007899999999999</c:v>
                </c:pt>
                <c:pt idx="255">
                  <c:v>12.582700000000001</c:v>
                </c:pt>
                <c:pt idx="256">
                  <c:v>13.1502</c:v>
                </c:pt>
                <c:pt idx="257">
                  <c:v>13.707700000000001</c:v>
                </c:pt>
                <c:pt idx="258">
                  <c:v>14.246</c:v>
                </c:pt>
                <c:pt idx="259">
                  <c:v>14.7536</c:v>
                </c:pt>
                <c:pt idx="260">
                  <c:v>15.226100000000001</c:v>
                </c:pt>
                <c:pt idx="261">
                  <c:v>15.647</c:v>
                </c:pt>
                <c:pt idx="262">
                  <c:v>15.917299999999999</c:v>
                </c:pt>
                <c:pt idx="263">
                  <c:v>16.102599999999999</c:v>
                </c:pt>
                <c:pt idx="264">
                  <c:v>16.266500000000001</c:v>
                </c:pt>
                <c:pt idx="265">
                  <c:v>16.410299999999999</c:v>
                </c:pt>
                <c:pt idx="266">
                  <c:v>16.5367</c:v>
                </c:pt>
                <c:pt idx="267">
                  <c:v>16.648700000000002</c:v>
                </c:pt>
                <c:pt idx="268">
                  <c:v>16.721800000000002</c:v>
                </c:pt>
                <c:pt idx="269">
                  <c:v>16.776499999999999</c:v>
                </c:pt>
                <c:pt idx="270">
                  <c:v>16.814</c:v>
                </c:pt>
                <c:pt idx="271">
                  <c:v>16.8371</c:v>
                </c:pt>
                <c:pt idx="272">
                  <c:v>16.848500000000001</c:v>
                </c:pt>
                <c:pt idx="273">
                  <c:v>16.8431</c:v>
                </c:pt>
                <c:pt idx="274">
                  <c:v>16.827200000000001</c:v>
                </c:pt>
                <c:pt idx="275">
                  <c:v>16.799299999999999</c:v>
                </c:pt>
                <c:pt idx="276">
                  <c:v>16.761299999999999</c:v>
                </c:pt>
                <c:pt idx="277">
                  <c:v>16.7135</c:v>
                </c:pt>
                <c:pt idx="278">
                  <c:v>16.656300000000002</c:v>
                </c:pt>
                <c:pt idx="279">
                  <c:v>16.591699999999999</c:v>
                </c:pt>
                <c:pt idx="280">
                  <c:v>16.5199</c:v>
                </c:pt>
                <c:pt idx="281">
                  <c:v>16.440200000000001</c:v>
                </c:pt>
                <c:pt idx="282">
                  <c:v>16.3523</c:v>
                </c:pt>
                <c:pt idx="283">
                  <c:v>16.257999999999999</c:v>
                </c:pt>
                <c:pt idx="284">
                  <c:v>16.151399999999999</c:v>
                </c:pt>
                <c:pt idx="285">
                  <c:v>16.035499999999999</c:v>
                </c:pt>
                <c:pt idx="286">
                  <c:v>15.9137</c:v>
                </c:pt>
                <c:pt idx="287">
                  <c:v>15.784800000000001</c:v>
                </c:pt>
                <c:pt idx="288">
                  <c:v>15.6502</c:v>
                </c:pt>
                <c:pt idx="289">
                  <c:v>15.510400000000001</c:v>
                </c:pt>
                <c:pt idx="290">
                  <c:v>15.3668</c:v>
                </c:pt>
                <c:pt idx="291">
                  <c:v>15.22</c:v>
                </c:pt>
                <c:pt idx="292">
                  <c:v>15.0693</c:v>
                </c:pt>
                <c:pt idx="293">
                  <c:v>14.914999999999999</c:v>
                </c:pt>
                <c:pt idx="294">
                  <c:v>14.7563</c:v>
                </c:pt>
                <c:pt idx="295">
                  <c:v>14.5938</c:v>
                </c:pt>
                <c:pt idx="296">
                  <c:v>14.427899999999999</c:v>
                </c:pt>
                <c:pt idx="297">
                  <c:v>14.258900000000001</c:v>
                </c:pt>
                <c:pt idx="298">
                  <c:v>14.086399999999999</c:v>
                </c:pt>
                <c:pt idx="299">
                  <c:v>13.910600000000001</c:v>
                </c:pt>
                <c:pt idx="300">
                  <c:v>13.441800000000001</c:v>
                </c:pt>
                <c:pt idx="301">
                  <c:v>12.9709</c:v>
                </c:pt>
                <c:pt idx="302">
                  <c:v>12.4878</c:v>
                </c:pt>
                <c:pt idx="303">
                  <c:v>11.998799999999999</c:v>
                </c:pt>
                <c:pt idx="304">
                  <c:v>11.508800000000001</c:v>
                </c:pt>
                <c:pt idx="305">
                  <c:v>11.0181</c:v>
                </c:pt>
                <c:pt idx="306">
                  <c:v>10.5261</c:v>
                </c:pt>
                <c:pt idx="307">
                  <c:v>10.024800000000001</c:v>
                </c:pt>
                <c:pt idx="308">
                  <c:v>9.5144400000000005</c:v>
                </c:pt>
                <c:pt idx="309">
                  <c:v>8.9991199999999996</c:v>
                </c:pt>
                <c:pt idx="310">
                  <c:v>8.4725999999999999</c:v>
                </c:pt>
                <c:pt idx="311">
                  <c:v>7.9420599999999997</c:v>
                </c:pt>
                <c:pt idx="312">
                  <c:v>7.4109299999999996</c:v>
                </c:pt>
                <c:pt idx="313">
                  <c:v>6.8787799999999999</c:v>
                </c:pt>
                <c:pt idx="314">
                  <c:v>6.3385800000000003</c:v>
                </c:pt>
                <c:pt idx="315">
                  <c:v>5.7873200000000002</c:v>
                </c:pt>
                <c:pt idx="316">
                  <c:v>5.2296199999999997</c:v>
                </c:pt>
                <c:pt idx="317">
                  <c:v>4.6607900000000004</c:v>
                </c:pt>
                <c:pt idx="318">
                  <c:v>4.0908300000000004</c:v>
                </c:pt>
                <c:pt idx="319">
                  <c:v>3.5211399999999999</c:v>
                </c:pt>
                <c:pt idx="320">
                  <c:v>2.94625</c:v>
                </c:pt>
                <c:pt idx="321">
                  <c:v>2.3593199999999999</c:v>
                </c:pt>
                <c:pt idx="322">
                  <c:v>1.7646299999999999</c:v>
                </c:pt>
                <c:pt idx="323">
                  <c:v>1.1587000000000001</c:v>
                </c:pt>
                <c:pt idx="324">
                  <c:v>0.55241200000000001</c:v>
                </c:pt>
                <c:pt idx="325">
                  <c:v>-5.3778600000000003E-2</c:v>
                </c:pt>
                <c:pt idx="326">
                  <c:v>-0.66208800000000001</c:v>
                </c:pt>
                <c:pt idx="327">
                  <c:v>-1.27254</c:v>
                </c:pt>
                <c:pt idx="328">
                  <c:v>-1.8866099999999999</c:v>
                </c:pt>
                <c:pt idx="329">
                  <c:v>-2.5012799999999999</c:v>
                </c:pt>
                <c:pt idx="330">
                  <c:v>-3.1158999999999999</c:v>
                </c:pt>
                <c:pt idx="331">
                  <c:v>-3.73047</c:v>
                </c:pt>
                <c:pt idx="332">
                  <c:v>-4.3446400000000001</c:v>
                </c:pt>
                <c:pt idx="333">
                  <c:v>-4.95845</c:v>
                </c:pt>
                <c:pt idx="334">
                  <c:v>-5.5717699999999999</c:v>
                </c:pt>
                <c:pt idx="335">
                  <c:v>-6.1845800000000004</c:v>
                </c:pt>
                <c:pt idx="336">
                  <c:v>-6.7950400000000002</c:v>
                </c:pt>
                <c:pt idx="337">
                  <c:v>-7.4031000000000002</c:v>
                </c:pt>
                <c:pt idx="338">
                  <c:v>-8.0085999999999995</c:v>
                </c:pt>
                <c:pt idx="339">
                  <c:v>-8.6112900000000003</c:v>
                </c:pt>
                <c:pt idx="340">
                  <c:v>-9.2117799999999992</c:v>
                </c:pt>
                <c:pt idx="341">
                  <c:v>-9.8090899999999994</c:v>
                </c:pt>
                <c:pt idx="342">
                  <c:v>-10.397</c:v>
                </c:pt>
                <c:pt idx="343">
                  <c:v>-10.975899999999999</c:v>
                </c:pt>
                <c:pt idx="344">
                  <c:v>-11.5443</c:v>
                </c:pt>
                <c:pt idx="345">
                  <c:v>-12.1022</c:v>
                </c:pt>
                <c:pt idx="346">
                  <c:v>-12.6487</c:v>
                </c:pt>
                <c:pt idx="347">
                  <c:v>-13.179399999999999</c:v>
                </c:pt>
                <c:pt idx="348">
                  <c:v>-13.698399999999999</c:v>
                </c:pt>
                <c:pt idx="349">
                  <c:v>-14.2066</c:v>
                </c:pt>
                <c:pt idx="350">
                  <c:v>-14.7052</c:v>
                </c:pt>
                <c:pt idx="351">
                  <c:v>-15.193</c:v>
                </c:pt>
                <c:pt idx="352">
                  <c:v>-15.671099999999999</c:v>
                </c:pt>
                <c:pt idx="353">
                  <c:v>-16.139800000000001</c:v>
                </c:pt>
                <c:pt idx="354">
                  <c:v>-16.597799999999999</c:v>
                </c:pt>
                <c:pt idx="355">
                  <c:v>-17.046500000000002</c:v>
                </c:pt>
                <c:pt idx="356">
                  <c:v>-17.482299999999999</c:v>
                </c:pt>
                <c:pt idx="357">
                  <c:v>-17.887799999999999</c:v>
                </c:pt>
                <c:pt idx="358">
                  <c:v>-18.233000000000001</c:v>
                </c:pt>
                <c:pt idx="359">
                  <c:v>-18.5657</c:v>
                </c:pt>
                <c:pt idx="360">
                  <c:v>-18.877800000000001</c:v>
                </c:pt>
                <c:pt idx="361">
                  <c:v>-19.177399999999999</c:v>
                </c:pt>
                <c:pt idx="362">
                  <c:v>-19.4635</c:v>
                </c:pt>
                <c:pt idx="363">
                  <c:v>-19.721599999999999</c:v>
                </c:pt>
                <c:pt idx="364">
                  <c:v>-19.922699999999999</c:v>
                </c:pt>
                <c:pt idx="365">
                  <c:v>-20.060199999999998</c:v>
                </c:pt>
                <c:pt idx="366">
                  <c:v>-20.171199999999999</c:v>
                </c:pt>
                <c:pt idx="367">
                  <c:v>-20.253</c:v>
                </c:pt>
                <c:pt idx="368">
                  <c:v>-20.264099999999999</c:v>
                </c:pt>
                <c:pt idx="369">
                  <c:v>-20.244499999999999</c:v>
                </c:pt>
                <c:pt idx="370">
                  <c:v>-20.200199999999999</c:v>
                </c:pt>
                <c:pt idx="371">
                  <c:v>-20.135300000000001</c:v>
                </c:pt>
                <c:pt idx="372">
                  <c:v>-20.045200000000001</c:v>
                </c:pt>
                <c:pt idx="373">
                  <c:v>-19.945799999999998</c:v>
                </c:pt>
                <c:pt idx="374">
                  <c:v>-19.8429</c:v>
                </c:pt>
                <c:pt idx="375">
                  <c:v>-19.736499999999999</c:v>
                </c:pt>
                <c:pt idx="376">
                  <c:v>-19.6282</c:v>
                </c:pt>
                <c:pt idx="377">
                  <c:v>-19.514099999999999</c:v>
                </c:pt>
                <c:pt idx="378">
                  <c:v>-19.394600000000001</c:v>
                </c:pt>
                <c:pt idx="379">
                  <c:v>-19.270099999999999</c:v>
                </c:pt>
                <c:pt idx="380">
                  <c:v>-19.135000000000002</c:v>
                </c:pt>
                <c:pt idx="381">
                  <c:v>-18.9847</c:v>
                </c:pt>
                <c:pt idx="382">
                  <c:v>-18.812799999999999</c:v>
                </c:pt>
                <c:pt idx="383">
                  <c:v>-18.623799999999999</c:v>
                </c:pt>
                <c:pt idx="384">
                  <c:v>-18.414899999999999</c:v>
                </c:pt>
                <c:pt idx="385">
                  <c:v>-18.1782</c:v>
                </c:pt>
                <c:pt idx="386">
                  <c:v>-17.913499999999999</c:v>
                </c:pt>
                <c:pt idx="387">
                  <c:v>-17.623200000000001</c:v>
                </c:pt>
                <c:pt idx="388">
                  <c:v>-17.326699999999999</c:v>
                </c:pt>
                <c:pt idx="389">
                  <c:v>-17.020199999999999</c:v>
                </c:pt>
                <c:pt idx="390">
                  <c:v>-16.667999999999999</c:v>
                </c:pt>
                <c:pt idx="391">
                  <c:v>-16.279</c:v>
                </c:pt>
                <c:pt idx="392">
                  <c:v>-15.8292</c:v>
                </c:pt>
                <c:pt idx="393">
                  <c:v>-15.354100000000001</c:v>
                </c:pt>
                <c:pt idx="394">
                  <c:v>-14.811500000000001</c:v>
                </c:pt>
                <c:pt idx="395">
                  <c:v>-14.158099999999999</c:v>
                </c:pt>
                <c:pt idx="396">
                  <c:v>-13.4373</c:v>
                </c:pt>
                <c:pt idx="397">
                  <c:v>-12.6584</c:v>
                </c:pt>
                <c:pt idx="398">
                  <c:v>-11.86</c:v>
                </c:pt>
                <c:pt idx="399">
                  <c:v>-11.141999999999999</c:v>
                </c:pt>
                <c:pt idx="400">
                  <c:v>-10.722</c:v>
                </c:pt>
                <c:pt idx="401">
                  <c:v>-10.2997</c:v>
                </c:pt>
                <c:pt idx="402">
                  <c:v>-9.8729200000000006</c:v>
                </c:pt>
                <c:pt idx="403">
                  <c:v>-9.4443599999999996</c:v>
                </c:pt>
                <c:pt idx="404">
                  <c:v>-9.0166299999999993</c:v>
                </c:pt>
                <c:pt idx="405">
                  <c:v>-8.5889199999999999</c:v>
                </c:pt>
                <c:pt idx="406">
                  <c:v>-8.1587800000000001</c:v>
                </c:pt>
                <c:pt idx="407">
                  <c:v>-7.7260200000000001</c:v>
                </c:pt>
                <c:pt idx="408">
                  <c:v>-7.2883500000000003</c:v>
                </c:pt>
                <c:pt idx="409">
                  <c:v>-6.8493000000000004</c:v>
                </c:pt>
                <c:pt idx="410">
                  <c:v>-6.4092000000000002</c:v>
                </c:pt>
                <c:pt idx="411">
                  <c:v>-5.9679599999999997</c:v>
                </c:pt>
                <c:pt idx="412">
                  <c:v>-5.5252400000000002</c:v>
                </c:pt>
                <c:pt idx="413">
                  <c:v>-5.0806100000000001</c:v>
                </c:pt>
                <c:pt idx="414">
                  <c:v>-4.6361299999999996</c:v>
                </c:pt>
                <c:pt idx="415">
                  <c:v>-4.19278</c:v>
                </c:pt>
                <c:pt idx="416">
                  <c:v>-3.74607</c:v>
                </c:pt>
                <c:pt idx="417">
                  <c:v>-3.29678</c:v>
                </c:pt>
                <c:pt idx="418">
                  <c:v>-2.8457400000000002</c:v>
                </c:pt>
                <c:pt idx="419">
                  <c:v>-2.3938100000000002</c:v>
                </c:pt>
                <c:pt idx="420">
                  <c:v>-1.9405399999999999</c:v>
                </c:pt>
                <c:pt idx="421">
                  <c:v>-1.4855100000000001</c:v>
                </c:pt>
                <c:pt idx="422">
                  <c:v>-1.03139</c:v>
                </c:pt>
                <c:pt idx="423">
                  <c:v>-0.57701599999999997</c:v>
                </c:pt>
                <c:pt idx="424">
                  <c:v>-0.118822</c:v>
                </c:pt>
                <c:pt idx="425">
                  <c:v>0.33927600000000002</c:v>
                </c:pt>
                <c:pt idx="426">
                  <c:v>0.79843900000000001</c:v>
                </c:pt>
                <c:pt idx="427">
                  <c:v>1.2637799999999999</c:v>
                </c:pt>
                <c:pt idx="428">
                  <c:v>1.7291300000000001</c:v>
                </c:pt>
                <c:pt idx="429">
                  <c:v>2.1979099999999998</c:v>
                </c:pt>
                <c:pt idx="430">
                  <c:v>2.6731099999999999</c:v>
                </c:pt>
                <c:pt idx="431">
                  <c:v>3.1449099999999999</c:v>
                </c:pt>
                <c:pt idx="432">
                  <c:v>3.6143700000000001</c:v>
                </c:pt>
                <c:pt idx="433">
                  <c:v>4.08263</c:v>
                </c:pt>
                <c:pt idx="434">
                  <c:v>4.5500400000000001</c:v>
                </c:pt>
                <c:pt idx="435">
                  <c:v>5.0130699999999999</c:v>
                </c:pt>
                <c:pt idx="436">
                  <c:v>5.4591500000000002</c:v>
                </c:pt>
                <c:pt idx="437">
                  <c:v>5.8557199999999998</c:v>
                </c:pt>
                <c:pt idx="438">
                  <c:v>6.2304500000000003</c:v>
                </c:pt>
                <c:pt idx="439">
                  <c:v>6.5635899999999996</c:v>
                </c:pt>
                <c:pt idx="440">
                  <c:v>6.8764399999999997</c:v>
                </c:pt>
                <c:pt idx="441">
                  <c:v>7.1791</c:v>
                </c:pt>
                <c:pt idx="442">
                  <c:v>7.4574999999999996</c:v>
                </c:pt>
                <c:pt idx="443">
                  <c:v>7.71835</c:v>
                </c:pt>
                <c:pt idx="444">
                  <c:v>7.9506800000000002</c:v>
                </c:pt>
                <c:pt idx="445">
                  <c:v>8.1553900000000006</c:v>
                </c:pt>
                <c:pt idx="446">
                  <c:v>8.3108299999999993</c:v>
                </c:pt>
                <c:pt idx="447">
                  <c:v>8.4132999999999996</c:v>
                </c:pt>
                <c:pt idx="448">
                  <c:v>8.4455399999999994</c:v>
                </c:pt>
                <c:pt idx="449">
                  <c:v>8.3839699999999997</c:v>
                </c:pt>
                <c:pt idx="450">
                  <c:v>8.2030200000000004</c:v>
                </c:pt>
                <c:pt idx="451">
                  <c:v>7.8648100000000003</c:v>
                </c:pt>
                <c:pt idx="452">
                  <c:v>7.5069600000000003</c:v>
                </c:pt>
                <c:pt idx="453">
                  <c:v>7.1409799999999999</c:v>
                </c:pt>
                <c:pt idx="454">
                  <c:v>6.7773700000000003</c:v>
                </c:pt>
                <c:pt idx="455">
                  <c:v>6.3967799999999997</c:v>
                </c:pt>
                <c:pt idx="456">
                  <c:v>5.9951600000000003</c:v>
                </c:pt>
                <c:pt idx="457">
                  <c:v>5.5585199999999997</c:v>
                </c:pt>
                <c:pt idx="458">
                  <c:v>5.1575600000000001</c:v>
                </c:pt>
                <c:pt idx="459">
                  <c:v>4.8053400000000002</c:v>
                </c:pt>
                <c:pt idx="460">
                  <c:v>4.4666199999999998</c:v>
                </c:pt>
                <c:pt idx="461">
                  <c:v>4.1395999999999997</c:v>
                </c:pt>
                <c:pt idx="462">
                  <c:v>3.85331</c:v>
                </c:pt>
                <c:pt idx="463">
                  <c:v>3.6247500000000001</c:v>
                </c:pt>
                <c:pt idx="464">
                  <c:v>3.43899</c:v>
                </c:pt>
                <c:pt idx="465">
                  <c:v>3.2843399999999998</c:v>
                </c:pt>
                <c:pt idx="466">
                  <c:v>3.1514700000000002</c:v>
                </c:pt>
                <c:pt idx="467">
                  <c:v>3.0403799999999999</c:v>
                </c:pt>
                <c:pt idx="468">
                  <c:v>2.94495</c:v>
                </c:pt>
                <c:pt idx="469">
                  <c:v>2.8611599999999999</c:v>
                </c:pt>
                <c:pt idx="470">
                  <c:v>2.7875800000000002</c:v>
                </c:pt>
                <c:pt idx="471">
                  <c:v>2.72383</c:v>
                </c:pt>
                <c:pt idx="472">
                  <c:v>2.66648</c:v>
                </c:pt>
                <c:pt idx="473">
                  <c:v>2.6160899999999998</c:v>
                </c:pt>
                <c:pt idx="474">
                  <c:v>2.5701800000000001</c:v>
                </c:pt>
                <c:pt idx="475">
                  <c:v>2.5295100000000001</c:v>
                </c:pt>
                <c:pt idx="476">
                  <c:v>2.4924599999999999</c:v>
                </c:pt>
                <c:pt idx="477">
                  <c:v>2.4569100000000001</c:v>
                </c:pt>
                <c:pt idx="478">
                  <c:v>2.42299</c:v>
                </c:pt>
                <c:pt idx="479">
                  <c:v>2.3913600000000002</c:v>
                </c:pt>
                <c:pt idx="480">
                  <c:v>2.3616999999999999</c:v>
                </c:pt>
                <c:pt idx="481">
                  <c:v>2.3344299999999998</c:v>
                </c:pt>
                <c:pt idx="482">
                  <c:v>2.30904</c:v>
                </c:pt>
                <c:pt idx="483">
                  <c:v>2.28417</c:v>
                </c:pt>
                <c:pt idx="484">
                  <c:v>2.25915</c:v>
                </c:pt>
                <c:pt idx="485">
                  <c:v>2.2349199999999998</c:v>
                </c:pt>
                <c:pt idx="486">
                  <c:v>2.2118099999999998</c:v>
                </c:pt>
                <c:pt idx="487">
                  <c:v>2.1905700000000001</c:v>
                </c:pt>
                <c:pt idx="488">
                  <c:v>2.1705800000000002</c:v>
                </c:pt>
                <c:pt idx="489">
                  <c:v>2.15123</c:v>
                </c:pt>
                <c:pt idx="490">
                  <c:v>2.1330200000000001</c:v>
                </c:pt>
                <c:pt idx="491">
                  <c:v>2.1156199999999998</c:v>
                </c:pt>
                <c:pt idx="492">
                  <c:v>2.0992199999999999</c:v>
                </c:pt>
                <c:pt idx="493">
                  <c:v>2.0840800000000002</c:v>
                </c:pt>
                <c:pt idx="494">
                  <c:v>2.0694499999999998</c:v>
                </c:pt>
                <c:pt idx="495">
                  <c:v>2.05511</c:v>
                </c:pt>
                <c:pt idx="496">
                  <c:v>2.0413399999999999</c:v>
                </c:pt>
                <c:pt idx="497">
                  <c:v>2.0287199999999999</c:v>
                </c:pt>
                <c:pt idx="498">
                  <c:v>2.0174500000000002</c:v>
                </c:pt>
                <c:pt idx="499">
                  <c:v>2.00657</c:v>
                </c:pt>
                <c:pt idx="500">
                  <c:v>1.6353</c:v>
                </c:pt>
                <c:pt idx="501">
                  <c:v>1.27155</c:v>
                </c:pt>
                <c:pt idx="502">
                  <c:v>0.90888899999999995</c:v>
                </c:pt>
                <c:pt idx="503">
                  <c:v>0.55009699999999995</c:v>
                </c:pt>
                <c:pt idx="504">
                  <c:v>0.204905</c:v>
                </c:pt>
                <c:pt idx="505">
                  <c:v>-0.12859400000000001</c:v>
                </c:pt>
                <c:pt idx="506">
                  <c:v>-0.46016400000000002</c:v>
                </c:pt>
                <c:pt idx="507">
                  <c:v>-0.79000499999999996</c:v>
                </c:pt>
                <c:pt idx="508">
                  <c:v>-1.1128899999999999</c:v>
                </c:pt>
                <c:pt idx="509">
                  <c:v>-1.4136200000000001</c:v>
                </c:pt>
                <c:pt idx="510">
                  <c:v>-1.7016899999999999</c:v>
                </c:pt>
                <c:pt idx="511">
                  <c:v>-1.9736800000000001</c:v>
                </c:pt>
                <c:pt idx="512">
                  <c:v>-2.21983</c:v>
                </c:pt>
                <c:pt idx="513">
                  <c:v>-2.4602200000000001</c:v>
                </c:pt>
                <c:pt idx="514">
                  <c:v>-2.6598700000000002</c:v>
                </c:pt>
                <c:pt idx="515">
                  <c:v>-2.6808100000000001</c:v>
                </c:pt>
                <c:pt idx="516">
                  <c:v>-2.5634199999999998</c:v>
                </c:pt>
                <c:pt idx="517">
                  <c:v>-2.44381</c:v>
                </c:pt>
                <c:pt idx="518">
                  <c:v>-2.3670300000000002</c:v>
                </c:pt>
                <c:pt idx="519">
                  <c:v>-2.3348</c:v>
                </c:pt>
                <c:pt idx="520">
                  <c:v>-2.3448199999999999</c:v>
                </c:pt>
                <c:pt idx="521">
                  <c:v>-2.3717000000000001</c:v>
                </c:pt>
                <c:pt idx="522">
                  <c:v>-2.3982299999999999</c:v>
                </c:pt>
                <c:pt idx="523">
                  <c:v>-2.4192999999999998</c:v>
                </c:pt>
                <c:pt idx="524">
                  <c:v>-2.4369200000000002</c:v>
                </c:pt>
                <c:pt idx="525">
                  <c:v>-2.4533</c:v>
                </c:pt>
                <c:pt idx="526">
                  <c:v>-2.4684499999999998</c:v>
                </c:pt>
                <c:pt idx="527">
                  <c:v>-2.48251</c:v>
                </c:pt>
                <c:pt idx="528">
                  <c:v>-2.49593</c:v>
                </c:pt>
                <c:pt idx="529">
                  <c:v>-2.5093399999999999</c:v>
                </c:pt>
                <c:pt idx="530">
                  <c:v>-2.5222199999999999</c:v>
                </c:pt>
                <c:pt idx="531">
                  <c:v>-2.5344099999999998</c:v>
                </c:pt>
                <c:pt idx="532">
                  <c:v>-2.5464799999999999</c:v>
                </c:pt>
                <c:pt idx="533">
                  <c:v>-2.5580500000000002</c:v>
                </c:pt>
                <c:pt idx="534">
                  <c:v>-2.56914</c:v>
                </c:pt>
                <c:pt idx="535">
                  <c:v>-2.5807699999999998</c:v>
                </c:pt>
                <c:pt idx="536">
                  <c:v>-2.5925799999999999</c:v>
                </c:pt>
                <c:pt idx="537">
                  <c:v>-2.6046399999999998</c:v>
                </c:pt>
                <c:pt idx="538">
                  <c:v>-2.6156700000000002</c:v>
                </c:pt>
                <c:pt idx="539">
                  <c:v>-2.62649</c:v>
                </c:pt>
                <c:pt idx="540">
                  <c:v>-2.63687</c:v>
                </c:pt>
                <c:pt idx="541">
                  <c:v>-2.6451899999999999</c:v>
                </c:pt>
                <c:pt idx="542">
                  <c:v>-2.6530100000000001</c:v>
                </c:pt>
                <c:pt idx="543">
                  <c:v>-2.6593499999999999</c:v>
                </c:pt>
                <c:pt idx="544">
                  <c:v>-2.6620699999999999</c:v>
                </c:pt>
                <c:pt idx="545">
                  <c:v>-2.6631300000000002</c:v>
                </c:pt>
                <c:pt idx="546">
                  <c:v>-2.6606200000000002</c:v>
                </c:pt>
                <c:pt idx="547">
                  <c:v>-2.6564000000000001</c:v>
                </c:pt>
                <c:pt idx="548">
                  <c:v>-2.6476500000000001</c:v>
                </c:pt>
                <c:pt idx="549">
                  <c:v>-2.6372800000000001</c:v>
                </c:pt>
                <c:pt idx="550">
                  <c:v>-2.62486</c:v>
                </c:pt>
                <c:pt idx="551">
                  <c:v>-2.6000700000000001</c:v>
                </c:pt>
                <c:pt idx="552">
                  <c:v>-2.5516200000000002</c:v>
                </c:pt>
                <c:pt idx="553">
                  <c:v>-2.4613299999999998</c:v>
                </c:pt>
                <c:pt idx="554">
                  <c:v>-2.37168</c:v>
                </c:pt>
                <c:pt idx="555">
                  <c:v>-2.31284</c:v>
                </c:pt>
                <c:pt idx="556">
                  <c:v>-2.2761499999999999</c:v>
                </c:pt>
                <c:pt idx="557">
                  <c:v>-2.2543299999999999</c:v>
                </c:pt>
                <c:pt idx="558">
                  <c:v>-2.2400600000000002</c:v>
                </c:pt>
                <c:pt idx="559">
                  <c:v>-2.2320500000000001</c:v>
                </c:pt>
                <c:pt idx="560">
                  <c:v>-2.2303799999999998</c:v>
                </c:pt>
                <c:pt idx="561">
                  <c:v>-2.2341600000000001</c:v>
                </c:pt>
                <c:pt idx="562">
                  <c:v>-2.24281</c:v>
                </c:pt>
                <c:pt idx="563">
                  <c:v>-2.2546499999999998</c:v>
                </c:pt>
                <c:pt idx="564">
                  <c:v>-2.2680199999999999</c:v>
                </c:pt>
                <c:pt idx="565">
                  <c:v>-2.2806899999999999</c:v>
                </c:pt>
                <c:pt idx="566">
                  <c:v>-2.2936000000000001</c:v>
                </c:pt>
                <c:pt idx="567">
                  <c:v>-2.3065000000000002</c:v>
                </c:pt>
                <c:pt idx="568">
                  <c:v>-2.3189000000000002</c:v>
                </c:pt>
                <c:pt idx="569">
                  <c:v>-2.3280599999999998</c:v>
                </c:pt>
                <c:pt idx="570">
                  <c:v>-2.3363700000000001</c:v>
                </c:pt>
                <c:pt idx="571">
                  <c:v>-2.3421400000000001</c:v>
                </c:pt>
                <c:pt idx="572">
                  <c:v>-2.3475000000000001</c:v>
                </c:pt>
                <c:pt idx="573">
                  <c:v>-2.3527300000000002</c:v>
                </c:pt>
                <c:pt idx="574">
                  <c:v>-2.35785</c:v>
                </c:pt>
                <c:pt idx="575">
                  <c:v>-2.3622800000000002</c:v>
                </c:pt>
                <c:pt idx="576">
                  <c:v>-2.3652899999999999</c:v>
                </c:pt>
                <c:pt idx="577">
                  <c:v>-2.3681800000000002</c:v>
                </c:pt>
                <c:pt idx="578">
                  <c:v>-2.3710100000000001</c:v>
                </c:pt>
                <c:pt idx="579">
                  <c:v>-2.3737900000000001</c:v>
                </c:pt>
                <c:pt idx="580">
                  <c:v>-2.3765499999999999</c:v>
                </c:pt>
                <c:pt idx="581">
                  <c:v>-2.3792800000000001</c:v>
                </c:pt>
                <c:pt idx="582">
                  <c:v>-2.3818800000000002</c:v>
                </c:pt>
                <c:pt idx="583">
                  <c:v>-2.3843899999999998</c:v>
                </c:pt>
                <c:pt idx="584">
                  <c:v>-2.3868800000000001</c:v>
                </c:pt>
                <c:pt idx="585">
                  <c:v>-2.3893399999999998</c:v>
                </c:pt>
                <c:pt idx="586">
                  <c:v>-2.3917600000000001</c:v>
                </c:pt>
                <c:pt idx="587">
                  <c:v>-2.39418</c:v>
                </c:pt>
                <c:pt idx="588">
                  <c:v>-2.3965999999999998</c:v>
                </c:pt>
                <c:pt idx="589">
                  <c:v>-2.399</c:v>
                </c:pt>
                <c:pt idx="590">
                  <c:v>-2.4013900000000001</c:v>
                </c:pt>
                <c:pt idx="591">
                  <c:v>-2.4037799999999998</c:v>
                </c:pt>
                <c:pt idx="592">
                  <c:v>-2.4061599999999999</c:v>
                </c:pt>
                <c:pt idx="593">
                  <c:v>-2.4085100000000002</c:v>
                </c:pt>
                <c:pt idx="594">
                  <c:v>-2.4106999999999998</c:v>
                </c:pt>
                <c:pt idx="595">
                  <c:v>-2.41275</c:v>
                </c:pt>
                <c:pt idx="596">
                  <c:v>-2.4147799999999999</c:v>
                </c:pt>
                <c:pt idx="597">
                  <c:v>-2.4167999999999998</c:v>
                </c:pt>
                <c:pt idx="598">
                  <c:v>-2.41879</c:v>
                </c:pt>
                <c:pt idx="599">
                  <c:v>-2.42075</c:v>
                </c:pt>
                <c:pt idx="600">
                  <c:v>-2.1727799999999999</c:v>
                </c:pt>
                <c:pt idx="601">
                  <c:v>-1.92862</c:v>
                </c:pt>
                <c:pt idx="602">
                  <c:v>-1.6890000000000001</c:v>
                </c:pt>
                <c:pt idx="603">
                  <c:v>-1.4508099999999999</c:v>
                </c:pt>
                <c:pt idx="604">
                  <c:v>-1.2135</c:v>
                </c:pt>
                <c:pt idx="605">
                  <c:v>-0.97846900000000003</c:v>
                </c:pt>
                <c:pt idx="606">
                  <c:v>-0.74602299999999999</c:v>
                </c:pt>
                <c:pt idx="607">
                  <c:v>-0.51663000000000003</c:v>
                </c:pt>
                <c:pt idx="608">
                  <c:v>-0.28950999999999999</c:v>
                </c:pt>
                <c:pt idx="609">
                  <c:v>-6.3201800000000002E-2</c:v>
                </c:pt>
                <c:pt idx="610">
                  <c:v>0.15964500000000001</c:v>
                </c:pt>
                <c:pt idx="611">
                  <c:v>0.37986300000000001</c:v>
                </c:pt>
                <c:pt idx="612">
                  <c:v>0.595549</c:v>
                </c:pt>
                <c:pt idx="613">
                  <c:v>0.81018999999999997</c:v>
                </c:pt>
                <c:pt idx="614">
                  <c:v>1.02189</c:v>
                </c:pt>
                <c:pt idx="615">
                  <c:v>1.22824</c:v>
                </c:pt>
                <c:pt idx="616">
                  <c:v>1.4142399999999999</c:v>
                </c:pt>
                <c:pt idx="617">
                  <c:v>1.5152000000000001</c:v>
                </c:pt>
                <c:pt idx="618">
                  <c:v>1.53931</c:v>
                </c:pt>
                <c:pt idx="619">
                  <c:v>1.55135</c:v>
                </c:pt>
                <c:pt idx="620">
                  <c:v>1.5612699999999999</c:v>
                </c:pt>
                <c:pt idx="621">
                  <c:v>1.5680700000000001</c:v>
                </c:pt>
                <c:pt idx="622">
                  <c:v>1.5733699999999999</c:v>
                </c:pt>
                <c:pt idx="623">
                  <c:v>1.57778</c:v>
                </c:pt>
                <c:pt idx="624">
                  <c:v>1.58124</c:v>
                </c:pt>
                <c:pt idx="625">
                  <c:v>1.5844199999999999</c:v>
                </c:pt>
                <c:pt idx="626">
                  <c:v>1.5872200000000001</c:v>
                </c:pt>
                <c:pt idx="627">
                  <c:v>1.5899300000000001</c:v>
                </c:pt>
                <c:pt idx="628">
                  <c:v>1.59253</c:v>
                </c:pt>
                <c:pt idx="629">
                  <c:v>1.5950500000000001</c:v>
                </c:pt>
                <c:pt idx="630">
                  <c:v>1.5972999999999999</c:v>
                </c:pt>
                <c:pt idx="631">
                  <c:v>1.5993599999999999</c:v>
                </c:pt>
                <c:pt idx="632">
                  <c:v>1.6013900000000001</c:v>
                </c:pt>
                <c:pt idx="633">
                  <c:v>1.6031899999999999</c:v>
                </c:pt>
                <c:pt idx="634">
                  <c:v>1.60483</c:v>
                </c:pt>
                <c:pt idx="635">
                  <c:v>1.6064499999999999</c:v>
                </c:pt>
                <c:pt idx="636">
                  <c:v>1.6080300000000001</c:v>
                </c:pt>
                <c:pt idx="637">
                  <c:v>1.6095699999999999</c:v>
                </c:pt>
                <c:pt idx="638">
                  <c:v>1.61107</c:v>
                </c:pt>
                <c:pt idx="639">
                  <c:v>1.6125700000000001</c:v>
                </c:pt>
                <c:pt idx="640">
                  <c:v>1.6140600000000001</c:v>
                </c:pt>
                <c:pt idx="641">
                  <c:v>1.6154599999999999</c:v>
                </c:pt>
                <c:pt idx="642">
                  <c:v>1.6167199999999999</c:v>
                </c:pt>
                <c:pt idx="643">
                  <c:v>1.6179399999999999</c:v>
                </c:pt>
                <c:pt idx="644">
                  <c:v>1.6191500000000001</c:v>
                </c:pt>
                <c:pt idx="645">
                  <c:v>1.62033</c:v>
                </c:pt>
                <c:pt idx="646">
                  <c:v>1.6214999999999999</c:v>
                </c:pt>
                <c:pt idx="647">
                  <c:v>1.6225499999999999</c:v>
                </c:pt>
                <c:pt idx="648">
                  <c:v>1.6235299999999999</c:v>
                </c:pt>
                <c:pt idx="649">
                  <c:v>1.6245099999999999</c:v>
                </c:pt>
                <c:pt idx="650">
                  <c:v>1.62548</c:v>
                </c:pt>
                <c:pt idx="651">
                  <c:v>1.6264400000000001</c:v>
                </c:pt>
                <c:pt idx="652">
                  <c:v>1.62738</c:v>
                </c:pt>
                <c:pt idx="653">
                  <c:v>1.62832</c:v>
                </c:pt>
                <c:pt idx="654">
                  <c:v>1.6292500000000001</c:v>
                </c:pt>
                <c:pt idx="655">
                  <c:v>1.63018</c:v>
                </c:pt>
                <c:pt idx="656">
                  <c:v>1.6311199999999999</c:v>
                </c:pt>
                <c:pt idx="657">
                  <c:v>1.6320399999999999</c:v>
                </c:pt>
                <c:pt idx="658">
                  <c:v>1.6329499999999999</c:v>
                </c:pt>
                <c:pt idx="659">
                  <c:v>1.6338600000000001</c:v>
                </c:pt>
                <c:pt idx="660">
                  <c:v>1.6347700000000001</c:v>
                </c:pt>
                <c:pt idx="661">
                  <c:v>1.63567</c:v>
                </c:pt>
                <c:pt idx="662">
                  <c:v>1.6365799999999999</c:v>
                </c:pt>
                <c:pt idx="663">
                  <c:v>1.63748</c:v>
                </c:pt>
                <c:pt idx="664">
                  <c:v>1.63835</c:v>
                </c:pt>
                <c:pt idx="665">
                  <c:v>1.63916</c:v>
                </c:pt>
                <c:pt idx="666">
                  <c:v>1.6399600000000001</c:v>
                </c:pt>
                <c:pt idx="667">
                  <c:v>1.64076</c:v>
                </c:pt>
                <c:pt idx="668">
                  <c:v>1.6415599999999999</c:v>
                </c:pt>
                <c:pt idx="669">
                  <c:v>1.64236</c:v>
                </c:pt>
                <c:pt idx="670">
                  <c:v>1.6431500000000001</c:v>
                </c:pt>
                <c:pt idx="671">
                  <c:v>1.64392</c:v>
                </c:pt>
                <c:pt idx="672">
                  <c:v>1.6446799999999999</c:v>
                </c:pt>
                <c:pt idx="673">
                  <c:v>1.64544</c:v>
                </c:pt>
                <c:pt idx="674">
                  <c:v>1.6462000000000001</c:v>
                </c:pt>
                <c:pt idx="675">
                  <c:v>1.6469499999999999</c:v>
                </c:pt>
                <c:pt idx="676">
                  <c:v>1.64771</c:v>
                </c:pt>
                <c:pt idx="677">
                  <c:v>1.6484700000000001</c:v>
                </c:pt>
                <c:pt idx="678">
                  <c:v>1.6492100000000001</c:v>
                </c:pt>
                <c:pt idx="679">
                  <c:v>1.64991</c:v>
                </c:pt>
                <c:pt idx="680">
                  <c:v>1.65059</c:v>
                </c:pt>
                <c:pt idx="681">
                  <c:v>1.6512800000000001</c:v>
                </c:pt>
                <c:pt idx="682">
                  <c:v>1.6519600000000001</c:v>
                </c:pt>
                <c:pt idx="683">
                  <c:v>1.65265</c:v>
                </c:pt>
                <c:pt idx="684">
                  <c:v>1.65333</c:v>
                </c:pt>
                <c:pt idx="685">
                  <c:v>1.65401</c:v>
                </c:pt>
                <c:pt idx="686">
                  <c:v>1.65469</c:v>
                </c:pt>
                <c:pt idx="687">
                  <c:v>1.6553599999999999</c:v>
                </c:pt>
                <c:pt idx="688">
                  <c:v>1.65604</c:v>
                </c:pt>
                <c:pt idx="689">
                  <c:v>1.6567000000000001</c:v>
                </c:pt>
                <c:pt idx="690">
                  <c:v>1.65737</c:v>
                </c:pt>
                <c:pt idx="691">
                  <c:v>1.65804</c:v>
                </c:pt>
                <c:pt idx="692">
                  <c:v>1.6587000000000001</c:v>
                </c:pt>
                <c:pt idx="693">
                  <c:v>1.65937</c:v>
                </c:pt>
                <c:pt idx="694">
                  <c:v>1.66004</c:v>
                </c:pt>
                <c:pt idx="695">
                  <c:v>1.6607099999999999</c:v>
                </c:pt>
                <c:pt idx="696">
                  <c:v>1.66137</c:v>
                </c:pt>
                <c:pt idx="697">
                  <c:v>1.66204</c:v>
                </c:pt>
                <c:pt idx="698">
                  <c:v>1.6627099999999999</c:v>
                </c:pt>
                <c:pt idx="699">
                  <c:v>1.66337</c:v>
                </c:pt>
                <c:pt idx="700">
                  <c:v>1.33802</c:v>
                </c:pt>
                <c:pt idx="701">
                  <c:v>1.01271</c:v>
                </c:pt>
                <c:pt idx="702">
                  <c:v>0.68807799999999997</c:v>
                </c:pt>
                <c:pt idx="703">
                  <c:v>0.36629800000000001</c:v>
                </c:pt>
                <c:pt idx="704">
                  <c:v>4.5692999999999998E-2</c:v>
                </c:pt>
                <c:pt idx="705">
                  <c:v>-0.27401900000000001</c:v>
                </c:pt>
                <c:pt idx="706">
                  <c:v>-0.58996700000000002</c:v>
                </c:pt>
                <c:pt idx="707">
                  <c:v>-0.905281</c:v>
                </c:pt>
                <c:pt idx="708">
                  <c:v>-1.2205900000000001</c:v>
                </c:pt>
                <c:pt idx="709">
                  <c:v>-1.5359100000000001</c:v>
                </c:pt>
                <c:pt idx="710">
                  <c:v>-1.76786</c:v>
                </c:pt>
                <c:pt idx="711">
                  <c:v>-1.8338099999999999</c:v>
                </c:pt>
                <c:pt idx="712">
                  <c:v>-1.8801000000000001</c:v>
                </c:pt>
                <c:pt idx="713">
                  <c:v>-1.9046099999999999</c:v>
                </c:pt>
                <c:pt idx="714">
                  <c:v>-1.92692</c:v>
                </c:pt>
                <c:pt idx="715">
                  <c:v>-1.9481200000000001</c:v>
                </c:pt>
                <c:pt idx="716">
                  <c:v>-1.96841</c:v>
                </c:pt>
                <c:pt idx="717">
                  <c:v>-1.9878800000000001</c:v>
                </c:pt>
                <c:pt idx="718">
                  <c:v>-2.0069499999999998</c:v>
                </c:pt>
                <c:pt idx="719">
                  <c:v>-2.0254500000000002</c:v>
                </c:pt>
                <c:pt idx="720">
                  <c:v>-2.0434600000000001</c:v>
                </c:pt>
                <c:pt idx="721">
                  <c:v>-2.0613100000000002</c:v>
                </c:pt>
                <c:pt idx="722">
                  <c:v>-2.07891</c:v>
                </c:pt>
                <c:pt idx="723">
                  <c:v>-2.0962700000000001</c:v>
                </c:pt>
                <c:pt idx="724">
                  <c:v>-2.1133099999999998</c:v>
                </c:pt>
                <c:pt idx="725">
                  <c:v>-2.13028</c:v>
                </c:pt>
                <c:pt idx="726">
                  <c:v>-2.1471499999999999</c:v>
                </c:pt>
                <c:pt idx="727">
                  <c:v>-2.1639699999999999</c:v>
                </c:pt>
                <c:pt idx="728">
                  <c:v>-2.18059</c:v>
                </c:pt>
                <c:pt idx="729">
                  <c:v>-2.1971500000000002</c:v>
                </c:pt>
                <c:pt idx="730">
                  <c:v>-2.2135899999999999</c:v>
                </c:pt>
                <c:pt idx="731">
                  <c:v>-2.22993</c:v>
                </c:pt>
                <c:pt idx="732">
                  <c:v>-2.2462499999999999</c:v>
                </c:pt>
                <c:pt idx="733">
                  <c:v>-2.26254</c:v>
                </c:pt>
                <c:pt idx="734">
                  <c:v>-2.27881</c:v>
                </c:pt>
                <c:pt idx="735">
                  <c:v>-2.2950699999999999</c:v>
                </c:pt>
                <c:pt idx="736">
                  <c:v>-2.3113299999999999</c:v>
                </c:pt>
                <c:pt idx="737">
                  <c:v>-2.3275100000000002</c:v>
                </c:pt>
                <c:pt idx="738">
                  <c:v>-2.3436900000000001</c:v>
                </c:pt>
                <c:pt idx="739">
                  <c:v>-2.3598599999999998</c:v>
                </c:pt>
                <c:pt idx="740">
                  <c:v>-2.3758699999999999</c:v>
                </c:pt>
                <c:pt idx="741">
                  <c:v>-2.39154</c:v>
                </c:pt>
                <c:pt idx="742">
                  <c:v>-2.40686</c:v>
                </c:pt>
                <c:pt idx="743">
                  <c:v>-2.42197</c:v>
                </c:pt>
                <c:pt idx="744">
                  <c:v>-2.4355600000000002</c:v>
                </c:pt>
                <c:pt idx="745">
                  <c:v>-2.44712</c:v>
                </c:pt>
                <c:pt idx="746">
                  <c:v>-2.4530699999999999</c:v>
                </c:pt>
                <c:pt idx="747">
                  <c:v>-2.4578700000000002</c:v>
                </c:pt>
                <c:pt idx="748">
                  <c:v>-2.46244</c:v>
                </c:pt>
                <c:pt idx="749">
                  <c:v>-2.46698</c:v>
                </c:pt>
                <c:pt idx="750">
                  <c:v>-2.4714700000000001</c:v>
                </c:pt>
                <c:pt idx="751">
                  <c:v>-2.4757799999999999</c:v>
                </c:pt>
                <c:pt idx="752">
                  <c:v>-2.4786800000000002</c:v>
                </c:pt>
                <c:pt idx="753">
                  <c:v>-2.4809999999999999</c:v>
                </c:pt>
                <c:pt idx="754">
                  <c:v>-2.4829300000000001</c:v>
                </c:pt>
                <c:pt idx="755">
                  <c:v>-2.4844900000000001</c:v>
                </c:pt>
                <c:pt idx="756">
                  <c:v>-2.48604</c:v>
                </c:pt>
                <c:pt idx="757">
                  <c:v>-2.4875699999999998</c:v>
                </c:pt>
                <c:pt idx="758">
                  <c:v>-2.4891000000000001</c:v>
                </c:pt>
                <c:pt idx="759">
                  <c:v>-2.4906299999999999</c:v>
                </c:pt>
                <c:pt idx="760">
                  <c:v>-2.49214</c:v>
                </c:pt>
                <c:pt idx="761">
                  <c:v>-2.4936500000000001</c:v>
                </c:pt>
                <c:pt idx="762">
                  <c:v>-2.4951599999999998</c:v>
                </c:pt>
                <c:pt idx="763">
                  <c:v>-2.4966499999999998</c:v>
                </c:pt>
                <c:pt idx="764">
                  <c:v>-2.4981100000000001</c:v>
                </c:pt>
                <c:pt idx="765">
                  <c:v>-2.4995599999999998</c:v>
                </c:pt>
                <c:pt idx="766">
                  <c:v>-2.50101</c:v>
                </c:pt>
                <c:pt idx="767">
                  <c:v>-2.50244</c:v>
                </c:pt>
                <c:pt idx="768">
                  <c:v>-2.5038800000000001</c:v>
                </c:pt>
                <c:pt idx="769">
                  <c:v>-2.5053000000000001</c:v>
                </c:pt>
                <c:pt idx="770">
                  <c:v>-2.5067200000000001</c:v>
                </c:pt>
                <c:pt idx="771">
                  <c:v>-2.5081000000000002</c:v>
                </c:pt>
                <c:pt idx="772">
                  <c:v>-2.5094799999999999</c:v>
                </c:pt>
                <c:pt idx="773">
                  <c:v>-2.51085</c:v>
                </c:pt>
                <c:pt idx="774">
                  <c:v>-2.5122200000000001</c:v>
                </c:pt>
                <c:pt idx="775">
                  <c:v>-2.5135900000000002</c:v>
                </c:pt>
                <c:pt idx="776">
                  <c:v>-2.5149599999999999</c:v>
                </c:pt>
                <c:pt idx="777">
                  <c:v>-2.51633</c:v>
                </c:pt>
                <c:pt idx="778">
                  <c:v>-2.5177</c:v>
                </c:pt>
                <c:pt idx="779">
                  <c:v>-2.5190700000000001</c:v>
                </c:pt>
                <c:pt idx="780">
                  <c:v>-2.5204300000000002</c:v>
                </c:pt>
                <c:pt idx="781">
                  <c:v>-2.5217999999999998</c:v>
                </c:pt>
                <c:pt idx="782">
                  <c:v>-2.5231699999999999</c:v>
                </c:pt>
                <c:pt idx="783">
                  <c:v>-2.52454</c:v>
                </c:pt>
                <c:pt idx="784">
                  <c:v>-2.52589</c:v>
                </c:pt>
                <c:pt idx="785">
                  <c:v>-2.5272399999999999</c:v>
                </c:pt>
                <c:pt idx="786">
                  <c:v>-2.5285799999999998</c:v>
                </c:pt>
                <c:pt idx="787">
                  <c:v>-2.5299299999999998</c:v>
                </c:pt>
                <c:pt idx="788">
                  <c:v>-2.5312700000000001</c:v>
                </c:pt>
                <c:pt idx="789">
                  <c:v>-2.5325799999999998</c:v>
                </c:pt>
                <c:pt idx="790">
                  <c:v>-2.5339</c:v>
                </c:pt>
                <c:pt idx="791">
                  <c:v>-2.5352100000000002</c:v>
                </c:pt>
                <c:pt idx="792">
                  <c:v>-2.5365199999999999</c:v>
                </c:pt>
                <c:pt idx="793">
                  <c:v>-2.53783</c:v>
                </c:pt>
                <c:pt idx="794">
                  <c:v>-2.5391400000000002</c:v>
                </c:pt>
                <c:pt idx="795">
                  <c:v>-2.5404499999999999</c:v>
                </c:pt>
                <c:pt idx="796">
                  <c:v>-2.54176</c:v>
                </c:pt>
                <c:pt idx="797">
                  <c:v>-2.5430600000000001</c:v>
                </c:pt>
                <c:pt idx="798">
                  <c:v>-2.5443600000000002</c:v>
                </c:pt>
                <c:pt idx="799">
                  <c:v>-2.5456400000000001</c:v>
                </c:pt>
                <c:pt idx="800">
                  <c:v>-2.28287</c:v>
                </c:pt>
                <c:pt idx="801">
                  <c:v>-2.02033</c:v>
                </c:pt>
                <c:pt idx="802">
                  <c:v>-1.7578100000000001</c:v>
                </c:pt>
                <c:pt idx="803">
                  <c:v>-1.49587</c:v>
                </c:pt>
                <c:pt idx="804">
                  <c:v>-1.2353000000000001</c:v>
                </c:pt>
                <c:pt idx="805">
                  <c:v>-0.97540700000000002</c:v>
                </c:pt>
                <c:pt idx="806">
                  <c:v>-0.71710600000000002</c:v>
                </c:pt>
                <c:pt idx="807">
                  <c:v>-0.45883099999999999</c:v>
                </c:pt>
                <c:pt idx="808">
                  <c:v>-0.200909</c:v>
                </c:pt>
                <c:pt idx="809">
                  <c:v>5.5522599999999998E-2</c:v>
                </c:pt>
                <c:pt idx="810">
                  <c:v>0.310969</c:v>
                </c:pt>
                <c:pt idx="811">
                  <c:v>0.56465500000000002</c:v>
                </c:pt>
                <c:pt idx="812">
                  <c:v>0.81794999999999995</c:v>
                </c:pt>
                <c:pt idx="813">
                  <c:v>1.0708299999999999</c:v>
                </c:pt>
                <c:pt idx="814">
                  <c:v>1.32159</c:v>
                </c:pt>
                <c:pt idx="815">
                  <c:v>1.5258</c:v>
                </c:pt>
                <c:pt idx="816">
                  <c:v>1.5594600000000001</c:v>
                </c:pt>
                <c:pt idx="817">
                  <c:v>1.5899300000000001</c:v>
                </c:pt>
                <c:pt idx="818">
                  <c:v>1.6153999999999999</c:v>
                </c:pt>
                <c:pt idx="819">
                  <c:v>1.6355599999999999</c:v>
                </c:pt>
                <c:pt idx="820">
                  <c:v>1.64977</c:v>
                </c:pt>
                <c:pt idx="821">
                  <c:v>1.6575299999999999</c:v>
                </c:pt>
                <c:pt idx="822">
                  <c:v>1.66273</c:v>
                </c:pt>
                <c:pt idx="823">
                  <c:v>1.66713</c:v>
                </c:pt>
                <c:pt idx="824">
                  <c:v>1.67076</c:v>
                </c:pt>
                <c:pt idx="825">
                  <c:v>1.6731400000000001</c:v>
                </c:pt>
                <c:pt idx="826">
                  <c:v>1.6751400000000001</c:v>
                </c:pt>
                <c:pt idx="827">
                  <c:v>1.6769799999999999</c:v>
                </c:pt>
                <c:pt idx="828">
                  <c:v>1.6786700000000001</c:v>
                </c:pt>
                <c:pt idx="829">
                  <c:v>1.68032</c:v>
                </c:pt>
                <c:pt idx="830">
                  <c:v>1.68177</c:v>
                </c:pt>
                <c:pt idx="831">
                  <c:v>1.68319</c:v>
                </c:pt>
                <c:pt idx="832">
                  <c:v>1.68458</c:v>
                </c:pt>
                <c:pt idx="833">
                  <c:v>1.68594</c:v>
                </c:pt>
                <c:pt idx="834">
                  <c:v>1.68727</c:v>
                </c:pt>
                <c:pt idx="835">
                  <c:v>1.6886099999999999</c:v>
                </c:pt>
                <c:pt idx="836">
                  <c:v>1.6899200000000001</c:v>
                </c:pt>
                <c:pt idx="837">
                  <c:v>1.69112</c:v>
                </c:pt>
                <c:pt idx="838">
                  <c:v>1.69228</c:v>
                </c:pt>
                <c:pt idx="839">
                  <c:v>1.6934400000000001</c:v>
                </c:pt>
                <c:pt idx="840">
                  <c:v>1.6945699999999999</c:v>
                </c:pt>
                <c:pt idx="841">
                  <c:v>1.69567</c:v>
                </c:pt>
                <c:pt idx="842">
                  <c:v>1.69668</c:v>
                </c:pt>
                <c:pt idx="843">
                  <c:v>1.6976899999999999</c:v>
                </c:pt>
                <c:pt idx="844">
                  <c:v>1.69869</c:v>
                </c:pt>
                <c:pt idx="845">
                  <c:v>1.6996899999999999</c:v>
                </c:pt>
                <c:pt idx="846">
                  <c:v>1.7006699999999999</c:v>
                </c:pt>
                <c:pt idx="847">
                  <c:v>1.70164</c:v>
                </c:pt>
                <c:pt idx="848">
                  <c:v>1.70262</c:v>
                </c:pt>
                <c:pt idx="849">
                  <c:v>1.7036</c:v>
                </c:pt>
                <c:pt idx="850">
                  <c:v>1.70458</c:v>
                </c:pt>
                <c:pt idx="851">
                  <c:v>1.7055400000000001</c:v>
                </c:pt>
                <c:pt idx="852">
                  <c:v>1.7064999999999999</c:v>
                </c:pt>
                <c:pt idx="853">
                  <c:v>1.70746</c:v>
                </c:pt>
                <c:pt idx="854">
                  <c:v>1.70842</c:v>
                </c:pt>
                <c:pt idx="855">
                  <c:v>1.7093799999999999</c:v>
                </c:pt>
                <c:pt idx="856">
                  <c:v>1.7103200000000001</c:v>
                </c:pt>
                <c:pt idx="857">
                  <c:v>1.7112099999999999</c:v>
                </c:pt>
                <c:pt idx="858">
                  <c:v>1.71211</c:v>
                </c:pt>
                <c:pt idx="859">
                  <c:v>1.7130099999999999</c:v>
                </c:pt>
                <c:pt idx="860">
                  <c:v>1.7139</c:v>
                </c:pt>
                <c:pt idx="861">
                  <c:v>1.71479</c:v>
                </c:pt>
                <c:pt idx="862">
                  <c:v>1.71567</c:v>
                </c:pt>
                <c:pt idx="863">
                  <c:v>1.71654</c:v>
                </c:pt>
                <c:pt idx="864">
                  <c:v>1.7174100000000001</c:v>
                </c:pt>
                <c:pt idx="865">
                  <c:v>1.71828</c:v>
                </c:pt>
                <c:pt idx="866">
                  <c:v>1.71915</c:v>
                </c:pt>
                <c:pt idx="867">
                  <c:v>1.7200200000000001</c:v>
                </c:pt>
                <c:pt idx="868">
                  <c:v>1.7208699999999999</c:v>
                </c:pt>
                <c:pt idx="869">
                  <c:v>1.7217</c:v>
                </c:pt>
                <c:pt idx="870">
                  <c:v>1.7225200000000001</c:v>
                </c:pt>
                <c:pt idx="871">
                  <c:v>1.7233499999999999</c:v>
                </c:pt>
                <c:pt idx="872">
                  <c:v>1.72417</c:v>
                </c:pt>
                <c:pt idx="873">
                  <c:v>1.7250000000000001</c:v>
                </c:pt>
                <c:pt idx="874">
                  <c:v>1.7258199999999999</c:v>
                </c:pt>
                <c:pt idx="875">
                  <c:v>1.72664</c:v>
                </c:pt>
                <c:pt idx="876">
                  <c:v>1.72746</c:v>
                </c:pt>
                <c:pt idx="877">
                  <c:v>1.72827</c:v>
                </c:pt>
                <c:pt idx="878">
                  <c:v>1.72909</c:v>
                </c:pt>
                <c:pt idx="879">
                  <c:v>1.7299</c:v>
                </c:pt>
                <c:pt idx="880">
                  <c:v>1.73072</c:v>
                </c:pt>
                <c:pt idx="881">
                  <c:v>1.73153</c:v>
                </c:pt>
                <c:pt idx="882">
                  <c:v>1.73234</c:v>
                </c:pt>
                <c:pt idx="883">
                  <c:v>1.73316</c:v>
                </c:pt>
                <c:pt idx="884">
                  <c:v>1.73397</c:v>
                </c:pt>
                <c:pt idx="885">
                  <c:v>1.7347900000000001</c:v>
                </c:pt>
                <c:pt idx="886">
                  <c:v>1.7356</c:v>
                </c:pt>
                <c:pt idx="887">
                  <c:v>1.7364200000000001</c:v>
                </c:pt>
                <c:pt idx="888">
                  <c:v>1.7372300000000001</c:v>
                </c:pt>
                <c:pt idx="889">
                  <c:v>1.73804</c:v>
                </c:pt>
                <c:pt idx="890">
                  <c:v>1.7388600000000001</c:v>
                </c:pt>
                <c:pt idx="891">
                  <c:v>1.73967</c:v>
                </c:pt>
                <c:pt idx="892">
                  <c:v>1.7404900000000001</c:v>
                </c:pt>
                <c:pt idx="893">
                  <c:v>1.7413000000000001</c:v>
                </c:pt>
                <c:pt idx="894">
                  <c:v>1.7421199999999999</c:v>
                </c:pt>
                <c:pt idx="895">
                  <c:v>1.7429300000000001</c:v>
                </c:pt>
                <c:pt idx="896">
                  <c:v>1.7437400000000001</c:v>
                </c:pt>
                <c:pt idx="897">
                  <c:v>1.7445600000000001</c:v>
                </c:pt>
                <c:pt idx="898">
                  <c:v>1.7453700000000001</c:v>
                </c:pt>
                <c:pt idx="899">
                  <c:v>1.7461899999999999</c:v>
                </c:pt>
                <c:pt idx="900">
                  <c:v>1.3669100000000001</c:v>
                </c:pt>
                <c:pt idx="901">
                  <c:v>0.98852499999999999</c:v>
                </c:pt>
                <c:pt idx="902">
                  <c:v>0.61150400000000005</c:v>
                </c:pt>
                <c:pt idx="903">
                  <c:v>0.23483200000000001</c:v>
                </c:pt>
                <c:pt idx="904">
                  <c:v>-0.140763</c:v>
                </c:pt>
                <c:pt idx="905">
                  <c:v>-0.514737</c:v>
                </c:pt>
                <c:pt idx="906">
                  <c:v>-0.88855099999999998</c:v>
                </c:pt>
                <c:pt idx="907">
                  <c:v>-1.2623599999999999</c:v>
                </c:pt>
                <c:pt idx="908">
                  <c:v>-1.63618</c:v>
                </c:pt>
                <c:pt idx="909">
                  <c:v>-1.8919900000000001</c:v>
                </c:pt>
                <c:pt idx="910">
                  <c:v>-1.9569099999999999</c:v>
                </c:pt>
                <c:pt idx="911">
                  <c:v>-2.0023</c:v>
                </c:pt>
                <c:pt idx="912">
                  <c:v>-2.0272800000000002</c:v>
                </c:pt>
                <c:pt idx="913">
                  <c:v>-2.0505499999999999</c:v>
                </c:pt>
                <c:pt idx="914">
                  <c:v>-2.0731099999999998</c:v>
                </c:pt>
                <c:pt idx="915">
                  <c:v>-2.0949599999999999</c:v>
                </c:pt>
                <c:pt idx="916">
                  <c:v>-2.1164499999999999</c:v>
                </c:pt>
                <c:pt idx="917">
                  <c:v>-2.1375000000000002</c:v>
                </c:pt>
                <c:pt idx="918">
                  <c:v>-2.15822</c:v>
                </c:pt>
                <c:pt idx="919">
                  <c:v>-2.1788099999999999</c:v>
                </c:pt>
                <c:pt idx="920">
                  <c:v>-2.19916</c:v>
                </c:pt>
                <c:pt idx="921">
                  <c:v>-2.2193399999999999</c:v>
                </c:pt>
                <c:pt idx="922">
                  <c:v>-2.2393700000000001</c:v>
                </c:pt>
                <c:pt idx="923">
                  <c:v>-2.2593399999999999</c:v>
                </c:pt>
                <c:pt idx="924">
                  <c:v>-2.2792699999999999</c:v>
                </c:pt>
                <c:pt idx="925">
                  <c:v>-2.2990599999999999</c:v>
                </c:pt>
                <c:pt idx="926">
                  <c:v>-2.31881</c:v>
                </c:pt>
                <c:pt idx="927">
                  <c:v>-2.3384499999999999</c:v>
                </c:pt>
                <c:pt idx="928">
                  <c:v>-2.35805</c:v>
                </c:pt>
                <c:pt idx="929">
                  <c:v>-2.3776299999999999</c:v>
                </c:pt>
                <c:pt idx="930">
                  <c:v>-2.3972000000000002</c:v>
                </c:pt>
                <c:pt idx="931">
                  <c:v>-2.41675</c:v>
                </c:pt>
                <c:pt idx="932">
                  <c:v>-2.4363000000000001</c:v>
                </c:pt>
                <c:pt idx="933">
                  <c:v>-2.4540600000000001</c:v>
                </c:pt>
                <c:pt idx="934">
                  <c:v>-2.4704299999999999</c:v>
                </c:pt>
                <c:pt idx="935">
                  <c:v>-2.48638</c:v>
                </c:pt>
                <c:pt idx="936">
                  <c:v>-2.50075</c:v>
                </c:pt>
                <c:pt idx="937">
                  <c:v>-2.5047999999999999</c:v>
                </c:pt>
                <c:pt idx="938">
                  <c:v>-2.50875</c:v>
                </c:pt>
                <c:pt idx="939">
                  <c:v>-2.5127000000000002</c:v>
                </c:pt>
                <c:pt idx="940">
                  <c:v>-2.5165299999999999</c:v>
                </c:pt>
                <c:pt idx="941">
                  <c:v>-2.5202800000000001</c:v>
                </c:pt>
                <c:pt idx="942">
                  <c:v>-2.5240200000000002</c:v>
                </c:pt>
                <c:pt idx="943">
                  <c:v>-2.5277599999999998</c:v>
                </c:pt>
                <c:pt idx="944">
                  <c:v>-2.5314999999999999</c:v>
                </c:pt>
                <c:pt idx="945">
                  <c:v>-2.5352399999999999</c:v>
                </c:pt>
                <c:pt idx="946">
                  <c:v>-2.5386299999999999</c:v>
                </c:pt>
                <c:pt idx="947">
                  <c:v>-2.5419800000000001</c:v>
                </c:pt>
                <c:pt idx="948">
                  <c:v>-2.5453399999999999</c:v>
                </c:pt>
                <c:pt idx="949">
                  <c:v>-2.5480200000000002</c:v>
                </c:pt>
                <c:pt idx="950">
                  <c:v>-2.5505300000000002</c:v>
                </c:pt>
                <c:pt idx="951">
                  <c:v>-2.5530400000000002</c:v>
                </c:pt>
                <c:pt idx="952">
                  <c:v>-2.5555500000000002</c:v>
                </c:pt>
                <c:pt idx="953">
                  <c:v>-2.5580699999999998</c:v>
                </c:pt>
                <c:pt idx="954">
                  <c:v>-2.5605799999999999</c:v>
                </c:pt>
                <c:pt idx="955">
                  <c:v>-2.5629599999999999</c:v>
                </c:pt>
                <c:pt idx="956">
                  <c:v>-2.5649000000000002</c:v>
                </c:pt>
                <c:pt idx="957">
                  <c:v>-2.56684</c:v>
                </c:pt>
                <c:pt idx="958">
                  <c:v>-2.5687799999999998</c:v>
                </c:pt>
                <c:pt idx="959">
                  <c:v>-2.5707100000000001</c:v>
                </c:pt>
                <c:pt idx="960">
                  <c:v>-2.5726100000000001</c:v>
                </c:pt>
                <c:pt idx="961">
                  <c:v>-2.5745</c:v>
                </c:pt>
                <c:pt idx="962">
                  <c:v>-2.57639</c:v>
                </c:pt>
                <c:pt idx="963">
                  <c:v>-2.5782799999999999</c:v>
                </c:pt>
                <c:pt idx="964">
                  <c:v>-2.5801699999999999</c:v>
                </c:pt>
                <c:pt idx="965">
                  <c:v>-2.5820500000000002</c:v>
                </c:pt>
                <c:pt idx="966">
                  <c:v>-2.5839300000000001</c:v>
                </c:pt>
                <c:pt idx="967">
                  <c:v>-2.5857999999999999</c:v>
                </c:pt>
                <c:pt idx="968">
                  <c:v>-2.5876800000000002</c:v>
                </c:pt>
                <c:pt idx="969">
                  <c:v>-2.58955</c:v>
                </c:pt>
                <c:pt idx="970">
                  <c:v>-2.5914199999999998</c:v>
                </c:pt>
                <c:pt idx="971">
                  <c:v>-2.59328</c:v>
                </c:pt>
                <c:pt idx="972">
                  <c:v>-2.5951499999999998</c:v>
                </c:pt>
                <c:pt idx="973">
                  <c:v>-2.5970200000000001</c:v>
                </c:pt>
                <c:pt idx="974">
                  <c:v>-2.5988799999999999</c:v>
                </c:pt>
                <c:pt idx="975">
                  <c:v>-2.6007400000000001</c:v>
                </c:pt>
                <c:pt idx="976">
                  <c:v>-2.6025999999999998</c:v>
                </c:pt>
                <c:pt idx="977">
                  <c:v>-2.60446</c:v>
                </c:pt>
                <c:pt idx="978">
                  <c:v>-2.6063100000000001</c:v>
                </c:pt>
                <c:pt idx="979">
                  <c:v>-2.6081699999999999</c:v>
                </c:pt>
                <c:pt idx="980">
                  <c:v>-2.61002</c:v>
                </c:pt>
                <c:pt idx="981">
                  <c:v>-2.6118700000000001</c:v>
                </c:pt>
                <c:pt idx="982">
                  <c:v>-2.6137199999999998</c:v>
                </c:pt>
                <c:pt idx="983">
                  <c:v>-2.61557</c:v>
                </c:pt>
                <c:pt idx="984">
                  <c:v>-2.6174300000000001</c:v>
                </c:pt>
                <c:pt idx="985">
                  <c:v>-2.6192799999999998</c:v>
                </c:pt>
                <c:pt idx="986">
                  <c:v>-2.6211199999999999</c:v>
                </c:pt>
                <c:pt idx="987">
                  <c:v>-2.62297</c:v>
                </c:pt>
                <c:pt idx="988">
                  <c:v>-2.6248200000000002</c:v>
                </c:pt>
                <c:pt idx="989">
                  <c:v>-2.6266600000000002</c:v>
                </c:pt>
                <c:pt idx="990">
                  <c:v>-2.6285099999999999</c:v>
                </c:pt>
                <c:pt idx="991">
                  <c:v>-2.63035</c:v>
                </c:pt>
                <c:pt idx="992">
                  <c:v>-2.6322000000000001</c:v>
                </c:pt>
                <c:pt idx="993">
                  <c:v>-2.6340499999999998</c:v>
                </c:pt>
                <c:pt idx="994">
                  <c:v>-2.6358899999999998</c:v>
                </c:pt>
                <c:pt idx="995">
                  <c:v>-2.6377299999999999</c:v>
                </c:pt>
                <c:pt idx="996">
                  <c:v>-2.63958</c:v>
                </c:pt>
                <c:pt idx="997">
                  <c:v>-2.6414200000000001</c:v>
                </c:pt>
                <c:pt idx="998">
                  <c:v>-2.6432600000000002</c:v>
                </c:pt>
                <c:pt idx="999">
                  <c:v>-2.6450999999999998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867-451E-A579-E96C9712B159}"/>
            </c:ext>
          </c:extLst>
        </c:ser>
        <c:ser>
          <c:idx val="2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Result!$E$1:$E$5000</c:f>
              <c:numCache>
                <c:formatCode>General</c:formatCode>
                <c:ptCount val="5000"/>
                <c:pt idx="0">
                  <c:v>4.6167300000000001E-2</c:v>
                </c:pt>
                <c:pt idx="1">
                  <c:v>9.6167299999999997E-2</c:v>
                </c:pt>
                <c:pt idx="2">
                  <c:v>0.14616699999999999</c:v>
                </c:pt>
                <c:pt idx="3">
                  <c:v>0.19616700000000001</c:v>
                </c:pt>
                <c:pt idx="4">
                  <c:v>0.246167</c:v>
                </c:pt>
                <c:pt idx="5">
                  <c:v>0.29616700000000001</c:v>
                </c:pt>
                <c:pt idx="6">
                  <c:v>0.346167</c:v>
                </c:pt>
                <c:pt idx="7">
                  <c:v>0.39616699999999999</c:v>
                </c:pt>
                <c:pt idx="8">
                  <c:v>0.44616699999999998</c:v>
                </c:pt>
                <c:pt idx="9">
                  <c:v>0.49616700000000002</c:v>
                </c:pt>
                <c:pt idx="10">
                  <c:v>0.54616699999999996</c:v>
                </c:pt>
                <c:pt idx="11">
                  <c:v>0.596167</c:v>
                </c:pt>
                <c:pt idx="12">
                  <c:v>0.64616700000000005</c:v>
                </c:pt>
                <c:pt idx="13">
                  <c:v>0.69616699999999998</c:v>
                </c:pt>
                <c:pt idx="14">
                  <c:v>0.74616700000000002</c:v>
                </c:pt>
                <c:pt idx="15">
                  <c:v>0.79616699999999996</c:v>
                </c:pt>
                <c:pt idx="16">
                  <c:v>0.846167</c:v>
                </c:pt>
                <c:pt idx="17">
                  <c:v>0.89616700000000005</c:v>
                </c:pt>
                <c:pt idx="18">
                  <c:v>0.94616699999999998</c:v>
                </c:pt>
                <c:pt idx="19">
                  <c:v>0.99616700000000002</c:v>
                </c:pt>
                <c:pt idx="20">
                  <c:v>1.04617</c:v>
                </c:pt>
                <c:pt idx="21">
                  <c:v>1.0961700000000001</c:v>
                </c:pt>
                <c:pt idx="22">
                  <c:v>1.1461699999999999</c:v>
                </c:pt>
                <c:pt idx="23">
                  <c:v>1.19617</c:v>
                </c:pt>
                <c:pt idx="24">
                  <c:v>1.24617</c:v>
                </c:pt>
                <c:pt idx="25">
                  <c:v>1.29617</c:v>
                </c:pt>
                <c:pt idx="26">
                  <c:v>1.3461700000000001</c:v>
                </c:pt>
                <c:pt idx="27">
                  <c:v>1.3961699999999999</c:v>
                </c:pt>
                <c:pt idx="28">
                  <c:v>1.44617</c:v>
                </c:pt>
                <c:pt idx="29">
                  <c:v>1.49617</c:v>
                </c:pt>
                <c:pt idx="30">
                  <c:v>1.54617</c:v>
                </c:pt>
                <c:pt idx="31">
                  <c:v>1.5961700000000001</c:v>
                </c:pt>
                <c:pt idx="32">
                  <c:v>1.6461699999999999</c:v>
                </c:pt>
                <c:pt idx="33">
                  <c:v>1.69617</c:v>
                </c:pt>
                <c:pt idx="34">
                  <c:v>1.74617</c:v>
                </c:pt>
                <c:pt idx="35">
                  <c:v>1.79617</c:v>
                </c:pt>
                <c:pt idx="36">
                  <c:v>1.8461700000000001</c:v>
                </c:pt>
                <c:pt idx="37">
                  <c:v>1.8961699999999999</c:v>
                </c:pt>
                <c:pt idx="38">
                  <c:v>1.94617</c:v>
                </c:pt>
                <c:pt idx="39">
                  <c:v>1.99617</c:v>
                </c:pt>
                <c:pt idx="40">
                  <c:v>2.04617</c:v>
                </c:pt>
                <c:pt idx="41">
                  <c:v>2.0961699999999999</c:v>
                </c:pt>
                <c:pt idx="42">
                  <c:v>2.1461700000000001</c:v>
                </c:pt>
                <c:pt idx="43">
                  <c:v>2.19617</c:v>
                </c:pt>
                <c:pt idx="44">
                  <c:v>2.2461700000000002</c:v>
                </c:pt>
                <c:pt idx="45">
                  <c:v>2.29617</c:v>
                </c:pt>
                <c:pt idx="46">
                  <c:v>2.3461699999999999</c:v>
                </c:pt>
                <c:pt idx="47">
                  <c:v>2.3961700000000001</c:v>
                </c:pt>
                <c:pt idx="48">
                  <c:v>2.44617</c:v>
                </c:pt>
                <c:pt idx="49">
                  <c:v>2.4961700000000002</c:v>
                </c:pt>
                <c:pt idx="50">
                  <c:v>2.54617</c:v>
                </c:pt>
                <c:pt idx="51">
                  <c:v>2.5961699999999999</c:v>
                </c:pt>
                <c:pt idx="52">
                  <c:v>2.6461700000000001</c:v>
                </c:pt>
                <c:pt idx="53">
                  <c:v>2.69617</c:v>
                </c:pt>
                <c:pt idx="54">
                  <c:v>2.7461700000000002</c:v>
                </c:pt>
                <c:pt idx="55">
                  <c:v>2.79617</c:v>
                </c:pt>
                <c:pt idx="56">
                  <c:v>2.8461699999999999</c:v>
                </c:pt>
                <c:pt idx="57">
                  <c:v>2.8961700000000001</c:v>
                </c:pt>
                <c:pt idx="58">
                  <c:v>2.94617</c:v>
                </c:pt>
                <c:pt idx="59">
                  <c:v>2.9961700000000002</c:v>
                </c:pt>
                <c:pt idx="60">
                  <c:v>3.04617</c:v>
                </c:pt>
                <c:pt idx="61">
                  <c:v>3.0961699999999999</c:v>
                </c:pt>
                <c:pt idx="62">
                  <c:v>3.1461700000000001</c:v>
                </c:pt>
                <c:pt idx="63">
                  <c:v>3.19617</c:v>
                </c:pt>
                <c:pt idx="64">
                  <c:v>3.2461700000000002</c:v>
                </c:pt>
                <c:pt idx="65">
                  <c:v>3.29617</c:v>
                </c:pt>
                <c:pt idx="66">
                  <c:v>3.3461699999999999</c:v>
                </c:pt>
                <c:pt idx="67">
                  <c:v>3.3961700000000001</c:v>
                </c:pt>
                <c:pt idx="68">
                  <c:v>3.44617</c:v>
                </c:pt>
                <c:pt idx="69">
                  <c:v>3.4961700000000002</c:v>
                </c:pt>
                <c:pt idx="70">
                  <c:v>3.54617</c:v>
                </c:pt>
                <c:pt idx="71">
                  <c:v>3.5961699999999999</c:v>
                </c:pt>
                <c:pt idx="72">
                  <c:v>3.6461700000000001</c:v>
                </c:pt>
                <c:pt idx="73">
                  <c:v>3.69617</c:v>
                </c:pt>
                <c:pt idx="74">
                  <c:v>3.7461700000000002</c:v>
                </c:pt>
                <c:pt idx="75">
                  <c:v>3.79617</c:v>
                </c:pt>
                <c:pt idx="76">
                  <c:v>3.8461699999999999</c:v>
                </c:pt>
                <c:pt idx="77">
                  <c:v>3.8961700000000001</c:v>
                </c:pt>
                <c:pt idx="78">
                  <c:v>3.94617</c:v>
                </c:pt>
                <c:pt idx="79">
                  <c:v>3.9961700000000002</c:v>
                </c:pt>
                <c:pt idx="80">
                  <c:v>4.04617</c:v>
                </c:pt>
                <c:pt idx="81">
                  <c:v>4.0961699999999999</c:v>
                </c:pt>
                <c:pt idx="82">
                  <c:v>4.1461699999999997</c:v>
                </c:pt>
                <c:pt idx="83">
                  <c:v>4.1961700000000004</c:v>
                </c:pt>
                <c:pt idx="84">
                  <c:v>4.2461700000000002</c:v>
                </c:pt>
                <c:pt idx="85">
                  <c:v>4.29617</c:v>
                </c:pt>
                <c:pt idx="86">
                  <c:v>4.3461699999999999</c:v>
                </c:pt>
                <c:pt idx="87">
                  <c:v>4.3961699999999997</c:v>
                </c:pt>
                <c:pt idx="88">
                  <c:v>4.4461700000000004</c:v>
                </c:pt>
                <c:pt idx="89">
                  <c:v>4.4961700000000002</c:v>
                </c:pt>
                <c:pt idx="90">
                  <c:v>4.54617</c:v>
                </c:pt>
                <c:pt idx="91">
                  <c:v>4.5961699999999999</c:v>
                </c:pt>
                <c:pt idx="92">
                  <c:v>4.6461699999999997</c:v>
                </c:pt>
                <c:pt idx="93">
                  <c:v>4.6961700000000004</c:v>
                </c:pt>
                <c:pt idx="94">
                  <c:v>4.7461700000000002</c:v>
                </c:pt>
                <c:pt idx="95">
                  <c:v>4.79617</c:v>
                </c:pt>
                <c:pt idx="96">
                  <c:v>4.8461699999999999</c:v>
                </c:pt>
                <c:pt idx="97">
                  <c:v>4.8961699999999997</c:v>
                </c:pt>
                <c:pt idx="98">
                  <c:v>4.9461700000000004</c:v>
                </c:pt>
                <c:pt idx="99">
                  <c:v>4.9961700000000002</c:v>
                </c:pt>
                <c:pt idx="100">
                  <c:v>4.8961699999999997</c:v>
                </c:pt>
                <c:pt idx="101">
                  <c:v>4.79617</c:v>
                </c:pt>
                <c:pt idx="102">
                  <c:v>4.6961700000000004</c:v>
                </c:pt>
                <c:pt idx="103">
                  <c:v>4.5961699999999999</c:v>
                </c:pt>
                <c:pt idx="104">
                  <c:v>4.4961700000000002</c:v>
                </c:pt>
                <c:pt idx="105">
                  <c:v>4.3961699999999997</c:v>
                </c:pt>
                <c:pt idx="106">
                  <c:v>4.29617</c:v>
                </c:pt>
                <c:pt idx="107">
                  <c:v>4.1961700000000004</c:v>
                </c:pt>
                <c:pt idx="108">
                  <c:v>4.0961699999999999</c:v>
                </c:pt>
                <c:pt idx="109">
                  <c:v>3.9961700000000002</c:v>
                </c:pt>
                <c:pt idx="110">
                  <c:v>3.8961700000000001</c:v>
                </c:pt>
                <c:pt idx="111">
                  <c:v>3.79617</c:v>
                </c:pt>
                <c:pt idx="112">
                  <c:v>3.69617</c:v>
                </c:pt>
                <c:pt idx="113">
                  <c:v>3.5961699999999999</c:v>
                </c:pt>
                <c:pt idx="114">
                  <c:v>3.4961700000000002</c:v>
                </c:pt>
                <c:pt idx="115">
                  <c:v>3.3961700000000001</c:v>
                </c:pt>
                <c:pt idx="116">
                  <c:v>3.29617</c:v>
                </c:pt>
                <c:pt idx="117">
                  <c:v>3.19617</c:v>
                </c:pt>
                <c:pt idx="118">
                  <c:v>3.0961699999999999</c:v>
                </c:pt>
                <c:pt idx="119">
                  <c:v>2.9961700000000002</c:v>
                </c:pt>
                <c:pt idx="120">
                  <c:v>2.8961700000000001</c:v>
                </c:pt>
                <c:pt idx="121">
                  <c:v>2.79617</c:v>
                </c:pt>
                <c:pt idx="122">
                  <c:v>2.69617</c:v>
                </c:pt>
                <c:pt idx="123">
                  <c:v>2.5961699999999999</c:v>
                </c:pt>
                <c:pt idx="124">
                  <c:v>2.4961700000000002</c:v>
                </c:pt>
                <c:pt idx="125">
                  <c:v>2.3961700000000001</c:v>
                </c:pt>
                <c:pt idx="126">
                  <c:v>2.29617</c:v>
                </c:pt>
                <c:pt idx="127">
                  <c:v>2.19617</c:v>
                </c:pt>
                <c:pt idx="128">
                  <c:v>2.0961699999999999</c:v>
                </c:pt>
                <c:pt idx="129">
                  <c:v>1.99617</c:v>
                </c:pt>
                <c:pt idx="130">
                  <c:v>1.8961699999999999</c:v>
                </c:pt>
                <c:pt idx="131">
                  <c:v>1.79617</c:v>
                </c:pt>
                <c:pt idx="132">
                  <c:v>1.69617</c:v>
                </c:pt>
                <c:pt idx="133">
                  <c:v>1.5961700000000001</c:v>
                </c:pt>
                <c:pt idx="134">
                  <c:v>1.49617</c:v>
                </c:pt>
                <c:pt idx="135">
                  <c:v>1.3961699999999999</c:v>
                </c:pt>
                <c:pt idx="136">
                  <c:v>1.29617</c:v>
                </c:pt>
                <c:pt idx="137">
                  <c:v>1.19617</c:v>
                </c:pt>
                <c:pt idx="138">
                  <c:v>1.0961700000000001</c:v>
                </c:pt>
                <c:pt idx="139">
                  <c:v>0.99616700000000002</c:v>
                </c:pt>
                <c:pt idx="140">
                  <c:v>0.89616700000000005</c:v>
                </c:pt>
                <c:pt idx="141">
                  <c:v>0.79616699999999996</c:v>
                </c:pt>
                <c:pt idx="142">
                  <c:v>0.69616699999999998</c:v>
                </c:pt>
                <c:pt idx="143">
                  <c:v>0.596167</c:v>
                </c:pt>
                <c:pt idx="144">
                  <c:v>0.49616700000000002</c:v>
                </c:pt>
                <c:pt idx="145">
                  <c:v>0.39616699999999999</c:v>
                </c:pt>
                <c:pt idx="146">
                  <c:v>0.29616700000000001</c:v>
                </c:pt>
                <c:pt idx="147">
                  <c:v>0.19616700000000001</c:v>
                </c:pt>
                <c:pt idx="148">
                  <c:v>9.6167299999999997E-2</c:v>
                </c:pt>
                <c:pt idx="149">
                  <c:v>-3.83271E-3</c:v>
                </c:pt>
                <c:pt idx="150">
                  <c:v>-0.10383299999999999</c:v>
                </c:pt>
                <c:pt idx="151">
                  <c:v>-0.20383299999999999</c:v>
                </c:pt>
                <c:pt idx="152">
                  <c:v>-0.30383300000000002</c:v>
                </c:pt>
                <c:pt idx="153">
                  <c:v>-0.403833</c:v>
                </c:pt>
                <c:pt idx="154">
                  <c:v>-0.50383299999999998</c:v>
                </c:pt>
                <c:pt idx="155">
                  <c:v>-0.60383299999999995</c:v>
                </c:pt>
                <c:pt idx="156">
                  <c:v>-0.70383300000000004</c:v>
                </c:pt>
                <c:pt idx="157">
                  <c:v>-0.80383300000000002</c:v>
                </c:pt>
                <c:pt idx="158">
                  <c:v>-0.903833</c:v>
                </c:pt>
                <c:pt idx="159">
                  <c:v>-1.00383</c:v>
                </c:pt>
                <c:pt idx="160">
                  <c:v>-1.1038300000000001</c:v>
                </c:pt>
                <c:pt idx="161">
                  <c:v>-1.20383</c:v>
                </c:pt>
                <c:pt idx="162">
                  <c:v>-1.30383</c:v>
                </c:pt>
                <c:pt idx="163">
                  <c:v>-1.4038299999999999</c:v>
                </c:pt>
                <c:pt idx="164">
                  <c:v>-1.50383</c:v>
                </c:pt>
                <c:pt idx="165">
                  <c:v>-1.6038300000000001</c:v>
                </c:pt>
                <c:pt idx="166">
                  <c:v>-1.70383</c:v>
                </c:pt>
                <c:pt idx="167">
                  <c:v>-1.80383</c:v>
                </c:pt>
                <c:pt idx="168">
                  <c:v>-1.9038299999999999</c:v>
                </c:pt>
                <c:pt idx="169">
                  <c:v>-2.0038299999999998</c:v>
                </c:pt>
                <c:pt idx="170">
                  <c:v>-2.1038299999999999</c:v>
                </c:pt>
                <c:pt idx="171">
                  <c:v>-2.20383</c:v>
                </c:pt>
                <c:pt idx="172">
                  <c:v>-2.30383</c:v>
                </c:pt>
                <c:pt idx="173">
                  <c:v>-2.4038300000000001</c:v>
                </c:pt>
                <c:pt idx="174">
                  <c:v>-2.5038299999999998</c:v>
                </c:pt>
                <c:pt idx="175">
                  <c:v>-2.6038299999999999</c:v>
                </c:pt>
                <c:pt idx="176">
                  <c:v>-2.70383</c:v>
                </c:pt>
                <c:pt idx="177">
                  <c:v>-2.80383</c:v>
                </c:pt>
                <c:pt idx="178">
                  <c:v>-2.9038300000000001</c:v>
                </c:pt>
                <c:pt idx="179">
                  <c:v>-3.0038299999999998</c:v>
                </c:pt>
                <c:pt idx="180">
                  <c:v>-3.1038299999999999</c:v>
                </c:pt>
                <c:pt idx="181">
                  <c:v>-3.20383</c:v>
                </c:pt>
                <c:pt idx="182">
                  <c:v>-3.30383</c:v>
                </c:pt>
                <c:pt idx="183">
                  <c:v>-3.4038300000000001</c:v>
                </c:pt>
                <c:pt idx="184">
                  <c:v>-3.5038299999999998</c:v>
                </c:pt>
                <c:pt idx="185">
                  <c:v>-3.6038299999999999</c:v>
                </c:pt>
                <c:pt idx="186">
                  <c:v>-3.70383</c:v>
                </c:pt>
                <c:pt idx="187">
                  <c:v>-3.80383</c:v>
                </c:pt>
                <c:pt idx="188">
                  <c:v>-3.9038300000000001</c:v>
                </c:pt>
                <c:pt idx="189">
                  <c:v>-4.0038299999999998</c:v>
                </c:pt>
                <c:pt idx="190">
                  <c:v>-4.1038300000000003</c:v>
                </c:pt>
                <c:pt idx="191">
                  <c:v>-4.20383</c:v>
                </c:pt>
                <c:pt idx="192">
                  <c:v>-4.3038299999999996</c:v>
                </c:pt>
                <c:pt idx="193">
                  <c:v>-4.4038300000000001</c:v>
                </c:pt>
                <c:pt idx="194">
                  <c:v>-4.5038299999999998</c:v>
                </c:pt>
                <c:pt idx="195">
                  <c:v>-4.6038300000000003</c:v>
                </c:pt>
                <c:pt idx="196">
                  <c:v>-4.70383</c:v>
                </c:pt>
                <c:pt idx="197">
                  <c:v>-4.8038299999999996</c:v>
                </c:pt>
                <c:pt idx="198">
                  <c:v>-4.9038300000000001</c:v>
                </c:pt>
                <c:pt idx="199">
                  <c:v>-5.0038299999999998</c:v>
                </c:pt>
                <c:pt idx="200">
                  <c:v>-4.8538300000000003</c:v>
                </c:pt>
                <c:pt idx="201">
                  <c:v>-4.70383</c:v>
                </c:pt>
                <c:pt idx="202">
                  <c:v>-4.5538299999999996</c:v>
                </c:pt>
                <c:pt idx="203">
                  <c:v>-4.4038300000000001</c:v>
                </c:pt>
                <c:pt idx="204">
                  <c:v>-4.2538299999999998</c:v>
                </c:pt>
                <c:pt idx="205">
                  <c:v>-4.1038300000000003</c:v>
                </c:pt>
                <c:pt idx="206">
                  <c:v>-3.95383</c:v>
                </c:pt>
                <c:pt idx="207">
                  <c:v>-3.80383</c:v>
                </c:pt>
                <c:pt idx="208">
                  <c:v>-3.6538300000000001</c:v>
                </c:pt>
                <c:pt idx="209">
                  <c:v>-3.5038299999999998</c:v>
                </c:pt>
                <c:pt idx="210">
                  <c:v>-3.3538299999999999</c:v>
                </c:pt>
                <c:pt idx="211">
                  <c:v>-3.20383</c:v>
                </c:pt>
                <c:pt idx="212">
                  <c:v>-3.05383</c:v>
                </c:pt>
                <c:pt idx="213">
                  <c:v>-2.9038300000000001</c:v>
                </c:pt>
                <c:pt idx="214">
                  <c:v>-2.7538299999999998</c:v>
                </c:pt>
                <c:pt idx="215">
                  <c:v>-2.6038299999999999</c:v>
                </c:pt>
                <c:pt idx="216">
                  <c:v>-2.45383</c:v>
                </c:pt>
                <c:pt idx="217">
                  <c:v>-2.30383</c:v>
                </c:pt>
                <c:pt idx="218">
                  <c:v>-2.1538300000000001</c:v>
                </c:pt>
                <c:pt idx="219">
                  <c:v>-2.0038299999999998</c:v>
                </c:pt>
                <c:pt idx="220">
                  <c:v>-1.8538300000000001</c:v>
                </c:pt>
                <c:pt idx="221">
                  <c:v>-1.70383</c:v>
                </c:pt>
                <c:pt idx="222">
                  <c:v>-1.55383</c:v>
                </c:pt>
                <c:pt idx="223">
                  <c:v>-1.4038299999999999</c:v>
                </c:pt>
                <c:pt idx="224">
                  <c:v>-1.25383</c:v>
                </c:pt>
                <c:pt idx="225">
                  <c:v>-1.1038300000000001</c:v>
                </c:pt>
                <c:pt idx="226">
                  <c:v>-0.95383300000000004</c:v>
                </c:pt>
                <c:pt idx="227">
                  <c:v>-0.80383300000000002</c:v>
                </c:pt>
                <c:pt idx="228">
                  <c:v>-0.653833</c:v>
                </c:pt>
                <c:pt idx="229">
                  <c:v>-0.50383299999999998</c:v>
                </c:pt>
                <c:pt idx="230">
                  <c:v>-0.35383300000000001</c:v>
                </c:pt>
                <c:pt idx="231">
                  <c:v>-0.20383299999999999</c:v>
                </c:pt>
                <c:pt idx="232">
                  <c:v>-5.3832699999999997E-2</c:v>
                </c:pt>
                <c:pt idx="233">
                  <c:v>9.6167299999999997E-2</c:v>
                </c:pt>
                <c:pt idx="234">
                  <c:v>0.246167</c:v>
                </c:pt>
                <c:pt idx="235">
                  <c:v>0.39616699999999999</c:v>
                </c:pt>
                <c:pt idx="236">
                  <c:v>0.54616699999999996</c:v>
                </c:pt>
                <c:pt idx="237">
                  <c:v>0.69616699999999998</c:v>
                </c:pt>
                <c:pt idx="238">
                  <c:v>0.846167</c:v>
                </c:pt>
                <c:pt idx="239">
                  <c:v>0.99616700000000002</c:v>
                </c:pt>
                <c:pt idx="240">
                  <c:v>1.1461699999999999</c:v>
                </c:pt>
                <c:pt idx="241">
                  <c:v>1.29617</c:v>
                </c:pt>
                <c:pt idx="242">
                  <c:v>1.44617</c:v>
                </c:pt>
                <c:pt idx="243">
                  <c:v>1.5961700000000001</c:v>
                </c:pt>
                <c:pt idx="244">
                  <c:v>1.74617</c:v>
                </c:pt>
                <c:pt idx="245">
                  <c:v>1.8961699999999999</c:v>
                </c:pt>
                <c:pt idx="246">
                  <c:v>2.04617</c:v>
                </c:pt>
                <c:pt idx="247">
                  <c:v>2.19617</c:v>
                </c:pt>
                <c:pt idx="248">
                  <c:v>2.3461699999999999</c:v>
                </c:pt>
                <c:pt idx="249">
                  <c:v>2.4961700000000002</c:v>
                </c:pt>
                <c:pt idx="250">
                  <c:v>2.6461700000000001</c:v>
                </c:pt>
                <c:pt idx="251">
                  <c:v>2.79617</c:v>
                </c:pt>
                <c:pt idx="252">
                  <c:v>2.94617</c:v>
                </c:pt>
                <c:pt idx="253">
                  <c:v>3.0961699999999999</c:v>
                </c:pt>
                <c:pt idx="254">
                  <c:v>3.2461700000000002</c:v>
                </c:pt>
                <c:pt idx="255">
                  <c:v>3.3961700000000001</c:v>
                </c:pt>
                <c:pt idx="256">
                  <c:v>3.54617</c:v>
                </c:pt>
                <c:pt idx="257">
                  <c:v>3.69617</c:v>
                </c:pt>
                <c:pt idx="258">
                  <c:v>3.8461699999999999</c:v>
                </c:pt>
                <c:pt idx="259">
                  <c:v>3.9961700000000002</c:v>
                </c:pt>
                <c:pt idx="260">
                  <c:v>4.1461699999999997</c:v>
                </c:pt>
                <c:pt idx="261">
                  <c:v>4.29617</c:v>
                </c:pt>
                <c:pt idx="262">
                  <c:v>4.4461700000000004</c:v>
                </c:pt>
                <c:pt idx="263">
                  <c:v>4.5961699999999999</c:v>
                </c:pt>
                <c:pt idx="264">
                  <c:v>4.7461700000000002</c:v>
                </c:pt>
                <c:pt idx="265">
                  <c:v>4.8961699999999997</c:v>
                </c:pt>
                <c:pt idx="266">
                  <c:v>5.04617</c:v>
                </c:pt>
                <c:pt idx="267">
                  <c:v>5.1961700000000004</c:v>
                </c:pt>
                <c:pt idx="268">
                  <c:v>5.3461699999999999</c:v>
                </c:pt>
                <c:pt idx="269">
                  <c:v>5.4961700000000002</c:v>
                </c:pt>
                <c:pt idx="270">
                  <c:v>5.6461699999999997</c:v>
                </c:pt>
                <c:pt idx="271">
                  <c:v>5.79617</c:v>
                </c:pt>
                <c:pt idx="272">
                  <c:v>5.9461700000000004</c:v>
                </c:pt>
                <c:pt idx="273">
                  <c:v>6.0961699999999999</c:v>
                </c:pt>
                <c:pt idx="274">
                  <c:v>6.2461700000000002</c:v>
                </c:pt>
                <c:pt idx="275">
                  <c:v>6.3961699999999997</c:v>
                </c:pt>
                <c:pt idx="276">
                  <c:v>6.54617</c:v>
                </c:pt>
                <c:pt idx="277">
                  <c:v>6.6961700000000004</c:v>
                </c:pt>
                <c:pt idx="278">
                  <c:v>6.8461699999999999</c:v>
                </c:pt>
                <c:pt idx="279">
                  <c:v>6.9961700000000002</c:v>
                </c:pt>
                <c:pt idx="280">
                  <c:v>7.1461699999999997</c:v>
                </c:pt>
                <c:pt idx="281">
                  <c:v>7.29617</c:v>
                </c:pt>
                <c:pt idx="282">
                  <c:v>7.4461700000000004</c:v>
                </c:pt>
                <c:pt idx="283">
                  <c:v>7.5961699999999999</c:v>
                </c:pt>
                <c:pt idx="284">
                  <c:v>7.7461700000000002</c:v>
                </c:pt>
                <c:pt idx="285">
                  <c:v>7.8961699999999997</c:v>
                </c:pt>
                <c:pt idx="286">
                  <c:v>8.04617</c:v>
                </c:pt>
                <c:pt idx="287">
                  <c:v>8.1961700000000004</c:v>
                </c:pt>
                <c:pt idx="288">
                  <c:v>8.3461700000000008</c:v>
                </c:pt>
                <c:pt idx="289">
                  <c:v>8.4961699999999993</c:v>
                </c:pt>
                <c:pt idx="290">
                  <c:v>8.6461699999999997</c:v>
                </c:pt>
                <c:pt idx="291">
                  <c:v>8.79617</c:v>
                </c:pt>
                <c:pt idx="292">
                  <c:v>8.9461700000000004</c:v>
                </c:pt>
                <c:pt idx="293">
                  <c:v>9.0961700000000008</c:v>
                </c:pt>
                <c:pt idx="294">
                  <c:v>9.2461699999999993</c:v>
                </c:pt>
                <c:pt idx="295">
                  <c:v>9.3961699999999997</c:v>
                </c:pt>
                <c:pt idx="296">
                  <c:v>9.54617</c:v>
                </c:pt>
                <c:pt idx="297">
                  <c:v>9.6961700000000004</c:v>
                </c:pt>
                <c:pt idx="298">
                  <c:v>9.8461700000000008</c:v>
                </c:pt>
                <c:pt idx="299">
                  <c:v>9.9961699999999993</c:v>
                </c:pt>
                <c:pt idx="300">
                  <c:v>9.79617</c:v>
                </c:pt>
                <c:pt idx="301">
                  <c:v>9.5961700000000008</c:v>
                </c:pt>
                <c:pt idx="302">
                  <c:v>9.3961699999999997</c:v>
                </c:pt>
                <c:pt idx="303">
                  <c:v>9.1961700000000004</c:v>
                </c:pt>
                <c:pt idx="304">
                  <c:v>8.9961699999999993</c:v>
                </c:pt>
                <c:pt idx="305">
                  <c:v>8.79617</c:v>
                </c:pt>
                <c:pt idx="306">
                  <c:v>8.5961700000000008</c:v>
                </c:pt>
                <c:pt idx="307">
                  <c:v>8.3961699999999997</c:v>
                </c:pt>
                <c:pt idx="308">
                  <c:v>8.1961700000000004</c:v>
                </c:pt>
                <c:pt idx="309">
                  <c:v>7.9961700000000002</c:v>
                </c:pt>
                <c:pt idx="310">
                  <c:v>7.79617</c:v>
                </c:pt>
                <c:pt idx="311">
                  <c:v>7.5961699999999999</c:v>
                </c:pt>
                <c:pt idx="312">
                  <c:v>7.3961699999999997</c:v>
                </c:pt>
                <c:pt idx="313">
                  <c:v>7.1961700000000004</c:v>
                </c:pt>
                <c:pt idx="314">
                  <c:v>6.9961700000000002</c:v>
                </c:pt>
                <c:pt idx="315">
                  <c:v>6.79617</c:v>
                </c:pt>
                <c:pt idx="316">
                  <c:v>6.5961699999999999</c:v>
                </c:pt>
                <c:pt idx="317">
                  <c:v>6.3961699999999997</c:v>
                </c:pt>
                <c:pt idx="318">
                  <c:v>6.1961700000000004</c:v>
                </c:pt>
                <c:pt idx="319">
                  <c:v>5.9961700000000002</c:v>
                </c:pt>
                <c:pt idx="320">
                  <c:v>5.79617</c:v>
                </c:pt>
                <c:pt idx="321">
                  <c:v>5.5961699999999999</c:v>
                </c:pt>
                <c:pt idx="322">
                  <c:v>5.3961699999999997</c:v>
                </c:pt>
                <c:pt idx="323">
                  <c:v>5.1961700000000004</c:v>
                </c:pt>
                <c:pt idx="324">
                  <c:v>4.9961700000000002</c:v>
                </c:pt>
                <c:pt idx="325">
                  <c:v>4.79617</c:v>
                </c:pt>
                <c:pt idx="326">
                  <c:v>4.5961699999999999</c:v>
                </c:pt>
                <c:pt idx="327">
                  <c:v>4.3961699999999997</c:v>
                </c:pt>
                <c:pt idx="328">
                  <c:v>4.1961700000000004</c:v>
                </c:pt>
                <c:pt idx="329">
                  <c:v>3.9961700000000002</c:v>
                </c:pt>
                <c:pt idx="330">
                  <c:v>3.79617</c:v>
                </c:pt>
                <c:pt idx="331">
                  <c:v>3.5961699999999999</c:v>
                </c:pt>
                <c:pt idx="332">
                  <c:v>3.3961700000000001</c:v>
                </c:pt>
                <c:pt idx="333">
                  <c:v>3.19617</c:v>
                </c:pt>
                <c:pt idx="334">
                  <c:v>2.9961700000000002</c:v>
                </c:pt>
                <c:pt idx="335">
                  <c:v>2.79617</c:v>
                </c:pt>
                <c:pt idx="336">
                  <c:v>2.5961699999999999</c:v>
                </c:pt>
                <c:pt idx="337">
                  <c:v>2.3961700000000001</c:v>
                </c:pt>
                <c:pt idx="338">
                  <c:v>2.19617</c:v>
                </c:pt>
                <c:pt idx="339">
                  <c:v>1.99617</c:v>
                </c:pt>
                <c:pt idx="340">
                  <c:v>1.79617</c:v>
                </c:pt>
                <c:pt idx="341">
                  <c:v>1.5961700000000001</c:v>
                </c:pt>
                <c:pt idx="342">
                  <c:v>1.3961699999999999</c:v>
                </c:pt>
                <c:pt idx="343">
                  <c:v>1.19617</c:v>
                </c:pt>
                <c:pt idx="344">
                  <c:v>0.99616700000000002</c:v>
                </c:pt>
                <c:pt idx="345">
                  <c:v>0.79616699999999996</c:v>
                </c:pt>
                <c:pt idx="346">
                  <c:v>0.596167</c:v>
                </c:pt>
                <c:pt idx="347">
                  <c:v>0.39616699999999999</c:v>
                </c:pt>
                <c:pt idx="348">
                  <c:v>0.19616700000000001</c:v>
                </c:pt>
                <c:pt idx="349">
                  <c:v>-3.83271E-3</c:v>
                </c:pt>
                <c:pt idx="350">
                  <c:v>-0.20383299999999999</c:v>
                </c:pt>
                <c:pt idx="351">
                  <c:v>-0.403833</c:v>
                </c:pt>
                <c:pt idx="352">
                  <c:v>-0.60383299999999995</c:v>
                </c:pt>
                <c:pt idx="353">
                  <c:v>-0.80383300000000002</c:v>
                </c:pt>
                <c:pt idx="354">
                  <c:v>-1.00383</c:v>
                </c:pt>
                <c:pt idx="355">
                  <c:v>-1.20383</c:v>
                </c:pt>
                <c:pt idx="356">
                  <c:v>-1.4038299999999999</c:v>
                </c:pt>
                <c:pt idx="357">
                  <c:v>-1.6038300000000001</c:v>
                </c:pt>
                <c:pt idx="358">
                  <c:v>-1.80383</c:v>
                </c:pt>
                <c:pt idx="359">
                  <c:v>-2.0038299999999998</c:v>
                </c:pt>
                <c:pt idx="360">
                  <c:v>-2.20383</c:v>
                </c:pt>
                <c:pt idx="361">
                  <c:v>-2.4038300000000001</c:v>
                </c:pt>
                <c:pt idx="362">
                  <c:v>-2.6038299999999999</c:v>
                </c:pt>
                <c:pt idx="363">
                  <c:v>-2.80383</c:v>
                </c:pt>
                <c:pt idx="364">
                  <c:v>-3.0038299999999998</c:v>
                </c:pt>
                <c:pt idx="365">
                  <c:v>-3.20383</c:v>
                </c:pt>
                <c:pt idx="366">
                  <c:v>-3.4038300000000001</c:v>
                </c:pt>
                <c:pt idx="367">
                  <c:v>-3.6038299999999999</c:v>
                </c:pt>
                <c:pt idx="368">
                  <c:v>-3.80383</c:v>
                </c:pt>
                <c:pt idx="369">
                  <c:v>-4.0038299999999998</c:v>
                </c:pt>
                <c:pt idx="370">
                  <c:v>-4.20383</c:v>
                </c:pt>
                <c:pt idx="371">
                  <c:v>-4.4038300000000001</c:v>
                </c:pt>
                <c:pt idx="372">
                  <c:v>-4.6038300000000003</c:v>
                </c:pt>
                <c:pt idx="373">
                  <c:v>-4.8038299999999996</c:v>
                </c:pt>
                <c:pt idx="374">
                  <c:v>-5.0038299999999998</c:v>
                </c:pt>
                <c:pt idx="375">
                  <c:v>-5.20383</c:v>
                </c:pt>
                <c:pt idx="376">
                  <c:v>-5.4038300000000001</c:v>
                </c:pt>
                <c:pt idx="377">
                  <c:v>-5.6038300000000003</c:v>
                </c:pt>
                <c:pt idx="378">
                  <c:v>-5.8038299999999996</c:v>
                </c:pt>
                <c:pt idx="379">
                  <c:v>-6.0038299999999998</c:v>
                </c:pt>
                <c:pt idx="380">
                  <c:v>-6.20383</c:v>
                </c:pt>
                <c:pt idx="381">
                  <c:v>-6.4038300000000001</c:v>
                </c:pt>
                <c:pt idx="382">
                  <c:v>-6.6038300000000003</c:v>
                </c:pt>
                <c:pt idx="383">
                  <c:v>-6.8038299999999996</c:v>
                </c:pt>
                <c:pt idx="384">
                  <c:v>-7.0038299999999998</c:v>
                </c:pt>
                <c:pt idx="385">
                  <c:v>-7.20383</c:v>
                </c:pt>
                <c:pt idx="386">
                  <c:v>-7.4038300000000001</c:v>
                </c:pt>
                <c:pt idx="387">
                  <c:v>-7.6038300000000003</c:v>
                </c:pt>
                <c:pt idx="388">
                  <c:v>-7.8038299999999996</c:v>
                </c:pt>
                <c:pt idx="389">
                  <c:v>-8.0038300000000007</c:v>
                </c:pt>
                <c:pt idx="390">
                  <c:v>-8.20383</c:v>
                </c:pt>
                <c:pt idx="391">
                  <c:v>-8.4038299999999992</c:v>
                </c:pt>
                <c:pt idx="392">
                  <c:v>-8.6038300000000003</c:v>
                </c:pt>
                <c:pt idx="393">
                  <c:v>-8.8038299999999996</c:v>
                </c:pt>
                <c:pt idx="394">
                  <c:v>-9.0038300000000007</c:v>
                </c:pt>
                <c:pt idx="395">
                  <c:v>-9.20383</c:v>
                </c:pt>
                <c:pt idx="396">
                  <c:v>-9.4038299999999992</c:v>
                </c:pt>
                <c:pt idx="397">
                  <c:v>-9.6038300000000003</c:v>
                </c:pt>
                <c:pt idx="398">
                  <c:v>-9.8038299999999996</c:v>
                </c:pt>
                <c:pt idx="399">
                  <c:v>-10.0038</c:v>
                </c:pt>
                <c:pt idx="400">
                  <c:v>-9.7538300000000007</c:v>
                </c:pt>
                <c:pt idx="401">
                  <c:v>-9.5038300000000007</c:v>
                </c:pt>
                <c:pt idx="402">
                  <c:v>-9.2538300000000007</c:v>
                </c:pt>
                <c:pt idx="403">
                  <c:v>-9.0038300000000007</c:v>
                </c:pt>
                <c:pt idx="404">
                  <c:v>-8.7538300000000007</c:v>
                </c:pt>
                <c:pt idx="405">
                  <c:v>-8.5038300000000007</c:v>
                </c:pt>
                <c:pt idx="406">
                  <c:v>-8.2538300000000007</c:v>
                </c:pt>
                <c:pt idx="407">
                  <c:v>-8.0038300000000007</c:v>
                </c:pt>
                <c:pt idx="408">
                  <c:v>-7.7538299999999998</c:v>
                </c:pt>
                <c:pt idx="409">
                  <c:v>-7.5038299999999998</c:v>
                </c:pt>
                <c:pt idx="410">
                  <c:v>-7.2538299999999998</c:v>
                </c:pt>
                <c:pt idx="411">
                  <c:v>-7.0038299999999998</c:v>
                </c:pt>
                <c:pt idx="412">
                  <c:v>-6.7538299999999998</c:v>
                </c:pt>
                <c:pt idx="413">
                  <c:v>-6.5038299999999998</c:v>
                </c:pt>
                <c:pt idx="414">
                  <c:v>-6.2538299999999998</c:v>
                </c:pt>
                <c:pt idx="415">
                  <c:v>-6.0038299999999998</c:v>
                </c:pt>
                <c:pt idx="416">
                  <c:v>-5.7538299999999998</c:v>
                </c:pt>
                <c:pt idx="417">
                  <c:v>-5.5038299999999998</c:v>
                </c:pt>
                <c:pt idx="418">
                  <c:v>-5.2538299999999998</c:v>
                </c:pt>
                <c:pt idx="419">
                  <c:v>-5.0038299999999998</c:v>
                </c:pt>
                <c:pt idx="420">
                  <c:v>-4.7538299999999998</c:v>
                </c:pt>
                <c:pt idx="421">
                  <c:v>-4.5038299999999998</c:v>
                </c:pt>
                <c:pt idx="422">
                  <c:v>-4.2538299999999998</c:v>
                </c:pt>
                <c:pt idx="423">
                  <c:v>-4.0038299999999998</c:v>
                </c:pt>
                <c:pt idx="424">
                  <c:v>-3.7538299999999998</c:v>
                </c:pt>
                <c:pt idx="425">
                  <c:v>-3.5038299999999998</c:v>
                </c:pt>
                <c:pt idx="426">
                  <c:v>-3.2538299999999998</c:v>
                </c:pt>
                <c:pt idx="427">
                  <c:v>-3.0038299999999998</c:v>
                </c:pt>
                <c:pt idx="428">
                  <c:v>-2.7538299999999998</c:v>
                </c:pt>
                <c:pt idx="429">
                  <c:v>-2.5038299999999998</c:v>
                </c:pt>
                <c:pt idx="430">
                  <c:v>-2.2538299999999998</c:v>
                </c:pt>
                <c:pt idx="431">
                  <c:v>-2.0038299999999998</c:v>
                </c:pt>
                <c:pt idx="432">
                  <c:v>-1.75383</c:v>
                </c:pt>
                <c:pt idx="433">
                  <c:v>-1.50383</c:v>
                </c:pt>
                <c:pt idx="434">
                  <c:v>-1.25383</c:v>
                </c:pt>
                <c:pt idx="435">
                  <c:v>-1.00383</c:v>
                </c:pt>
                <c:pt idx="436">
                  <c:v>-0.75383299999999998</c:v>
                </c:pt>
                <c:pt idx="437">
                  <c:v>-0.50383299999999998</c:v>
                </c:pt>
                <c:pt idx="438">
                  <c:v>-0.25383299999999998</c:v>
                </c:pt>
                <c:pt idx="439">
                  <c:v>-3.83271E-3</c:v>
                </c:pt>
                <c:pt idx="440">
                  <c:v>0.246167</c:v>
                </c:pt>
                <c:pt idx="441">
                  <c:v>0.49616700000000002</c:v>
                </c:pt>
                <c:pt idx="442">
                  <c:v>0.74616700000000002</c:v>
                </c:pt>
                <c:pt idx="443">
                  <c:v>0.99616700000000002</c:v>
                </c:pt>
                <c:pt idx="444">
                  <c:v>1.24617</c:v>
                </c:pt>
                <c:pt idx="445">
                  <c:v>1.49617</c:v>
                </c:pt>
                <c:pt idx="446">
                  <c:v>1.74617</c:v>
                </c:pt>
                <c:pt idx="447">
                  <c:v>1.99617</c:v>
                </c:pt>
                <c:pt idx="448">
                  <c:v>2.2461700000000002</c:v>
                </c:pt>
                <c:pt idx="449">
                  <c:v>2.4961700000000002</c:v>
                </c:pt>
                <c:pt idx="450">
                  <c:v>2.7461700000000002</c:v>
                </c:pt>
                <c:pt idx="451">
                  <c:v>2.9961700000000002</c:v>
                </c:pt>
                <c:pt idx="452">
                  <c:v>3.2461700000000002</c:v>
                </c:pt>
                <c:pt idx="453">
                  <c:v>3.4961700000000002</c:v>
                </c:pt>
                <c:pt idx="454">
                  <c:v>3.7461700000000002</c:v>
                </c:pt>
                <c:pt idx="455">
                  <c:v>3.9961700000000002</c:v>
                </c:pt>
                <c:pt idx="456">
                  <c:v>4.2461700000000002</c:v>
                </c:pt>
                <c:pt idx="457">
                  <c:v>4.4961700000000002</c:v>
                </c:pt>
                <c:pt idx="458">
                  <c:v>4.7461700000000002</c:v>
                </c:pt>
                <c:pt idx="459">
                  <c:v>4.9961700000000002</c:v>
                </c:pt>
                <c:pt idx="460">
                  <c:v>5.2461700000000002</c:v>
                </c:pt>
                <c:pt idx="461">
                  <c:v>5.4961700000000002</c:v>
                </c:pt>
                <c:pt idx="462">
                  <c:v>5.7461700000000002</c:v>
                </c:pt>
                <c:pt idx="463">
                  <c:v>5.9961700000000002</c:v>
                </c:pt>
                <c:pt idx="464">
                  <c:v>6.2461700000000002</c:v>
                </c:pt>
                <c:pt idx="465">
                  <c:v>6.4961700000000002</c:v>
                </c:pt>
                <c:pt idx="466">
                  <c:v>6.7461700000000002</c:v>
                </c:pt>
                <c:pt idx="467">
                  <c:v>6.9961700000000002</c:v>
                </c:pt>
                <c:pt idx="468">
                  <c:v>7.2461700000000002</c:v>
                </c:pt>
                <c:pt idx="469">
                  <c:v>7.4961700000000002</c:v>
                </c:pt>
                <c:pt idx="470">
                  <c:v>7.7461700000000002</c:v>
                </c:pt>
                <c:pt idx="471">
                  <c:v>7.9961700000000002</c:v>
                </c:pt>
                <c:pt idx="472">
                  <c:v>8.2461699999999993</c:v>
                </c:pt>
                <c:pt idx="473">
                  <c:v>8.4961699999999993</c:v>
                </c:pt>
                <c:pt idx="474">
                  <c:v>8.7461699999999993</c:v>
                </c:pt>
                <c:pt idx="475">
                  <c:v>8.9961699999999993</c:v>
                </c:pt>
                <c:pt idx="476">
                  <c:v>9.2461699999999993</c:v>
                </c:pt>
                <c:pt idx="477">
                  <c:v>9.4961699999999993</c:v>
                </c:pt>
                <c:pt idx="478">
                  <c:v>9.7461699999999993</c:v>
                </c:pt>
                <c:pt idx="479">
                  <c:v>9.9961699999999993</c:v>
                </c:pt>
                <c:pt idx="480">
                  <c:v>10.2462</c:v>
                </c:pt>
                <c:pt idx="481">
                  <c:v>10.4962</c:v>
                </c:pt>
                <c:pt idx="482">
                  <c:v>10.7462</c:v>
                </c:pt>
                <c:pt idx="483">
                  <c:v>10.9962</c:v>
                </c:pt>
                <c:pt idx="484">
                  <c:v>11.2462</c:v>
                </c:pt>
                <c:pt idx="485">
                  <c:v>11.4962</c:v>
                </c:pt>
                <c:pt idx="486">
                  <c:v>11.7462</c:v>
                </c:pt>
                <c:pt idx="487">
                  <c:v>11.9962</c:v>
                </c:pt>
                <c:pt idx="488">
                  <c:v>12.2462</c:v>
                </c:pt>
                <c:pt idx="489">
                  <c:v>12.4962</c:v>
                </c:pt>
                <c:pt idx="490">
                  <c:v>12.7462</c:v>
                </c:pt>
                <c:pt idx="491">
                  <c:v>12.9962</c:v>
                </c:pt>
                <c:pt idx="492">
                  <c:v>13.2462</c:v>
                </c:pt>
                <c:pt idx="493">
                  <c:v>13.4962</c:v>
                </c:pt>
                <c:pt idx="494">
                  <c:v>13.7462</c:v>
                </c:pt>
                <c:pt idx="495">
                  <c:v>13.9962</c:v>
                </c:pt>
                <c:pt idx="496">
                  <c:v>14.2462</c:v>
                </c:pt>
                <c:pt idx="497">
                  <c:v>14.4962</c:v>
                </c:pt>
                <c:pt idx="498">
                  <c:v>14.7462</c:v>
                </c:pt>
                <c:pt idx="499">
                  <c:v>14.9962</c:v>
                </c:pt>
                <c:pt idx="500">
                  <c:v>14.696199999999999</c:v>
                </c:pt>
                <c:pt idx="501">
                  <c:v>14.3962</c:v>
                </c:pt>
                <c:pt idx="502">
                  <c:v>14.0962</c:v>
                </c:pt>
                <c:pt idx="503">
                  <c:v>13.796200000000001</c:v>
                </c:pt>
                <c:pt idx="504">
                  <c:v>13.4962</c:v>
                </c:pt>
                <c:pt idx="505">
                  <c:v>13.196199999999999</c:v>
                </c:pt>
                <c:pt idx="506">
                  <c:v>12.8962</c:v>
                </c:pt>
                <c:pt idx="507">
                  <c:v>12.5962</c:v>
                </c:pt>
                <c:pt idx="508">
                  <c:v>12.296200000000001</c:v>
                </c:pt>
                <c:pt idx="509">
                  <c:v>11.9962</c:v>
                </c:pt>
                <c:pt idx="510">
                  <c:v>11.696199999999999</c:v>
                </c:pt>
                <c:pt idx="511">
                  <c:v>11.3962</c:v>
                </c:pt>
                <c:pt idx="512">
                  <c:v>11.0962</c:v>
                </c:pt>
                <c:pt idx="513">
                  <c:v>10.796200000000001</c:v>
                </c:pt>
                <c:pt idx="514">
                  <c:v>10.4962</c:v>
                </c:pt>
                <c:pt idx="515">
                  <c:v>10.196199999999999</c:v>
                </c:pt>
                <c:pt idx="516">
                  <c:v>9.8961699999999997</c:v>
                </c:pt>
                <c:pt idx="517">
                  <c:v>9.5961700000000008</c:v>
                </c:pt>
                <c:pt idx="518">
                  <c:v>9.29617</c:v>
                </c:pt>
                <c:pt idx="519">
                  <c:v>8.9961699999999993</c:v>
                </c:pt>
                <c:pt idx="520">
                  <c:v>8.6961700000000004</c:v>
                </c:pt>
                <c:pt idx="521">
                  <c:v>8.3961699999999997</c:v>
                </c:pt>
                <c:pt idx="522">
                  <c:v>8.0961700000000008</c:v>
                </c:pt>
                <c:pt idx="523">
                  <c:v>7.79617</c:v>
                </c:pt>
                <c:pt idx="524">
                  <c:v>7.4961700000000002</c:v>
                </c:pt>
                <c:pt idx="525">
                  <c:v>7.1961700000000004</c:v>
                </c:pt>
                <c:pt idx="526">
                  <c:v>6.8961699999999997</c:v>
                </c:pt>
                <c:pt idx="527">
                  <c:v>6.5961699999999999</c:v>
                </c:pt>
                <c:pt idx="528">
                  <c:v>6.29617</c:v>
                </c:pt>
                <c:pt idx="529">
                  <c:v>5.9961700000000002</c:v>
                </c:pt>
                <c:pt idx="530">
                  <c:v>5.6961700000000004</c:v>
                </c:pt>
                <c:pt idx="531">
                  <c:v>5.3961699999999997</c:v>
                </c:pt>
                <c:pt idx="532">
                  <c:v>5.0961699999999999</c:v>
                </c:pt>
                <c:pt idx="533">
                  <c:v>4.79617</c:v>
                </c:pt>
                <c:pt idx="534">
                  <c:v>4.4961700000000002</c:v>
                </c:pt>
                <c:pt idx="535">
                  <c:v>4.1961700000000004</c:v>
                </c:pt>
                <c:pt idx="536">
                  <c:v>3.8961700000000001</c:v>
                </c:pt>
                <c:pt idx="537">
                  <c:v>3.5961699999999999</c:v>
                </c:pt>
                <c:pt idx="538">
                  <c:v>3.29617</c:v>
                </c:pt>
                <c:pt idx="539">
                  <c:v>2.9961700000000002</c:v>
                </c:pt>
                <c:pt idx="540">
                  <c:v>2.69617</c:v>
                </c:pt>
                <c:pt idx="541">
                  <c:v>2.3961700000000001</c:v>
                </c:pt>
                <c:pt idx="542">
                  <c:v>2.0961699999999999</c:v>
                </c:pt>
                <c:pt idx="543">
                  <c:v>1.79617</c:v>
                </c:pt>
                <c:pt idx="544">
                  <c:v>1.49617</c:v>
                </c:pt>
                <c:pt idx="545">
                  <c:v>1.19617</c:v>
                </c:pt>
                <c:pt idx="546">
                  <c:v>0.89616700000000005</c:v>
                </c:pt>
                <c:pt idx="547">
                  <c:v>0.596167</c:v>
                </c:pt>
                <c:pt idx="548">
                  <c:v>0.29616700000000001</c:v>
                </c:pt>
                <c:pt idx="549">
                  <c:v>-3.83271E-3</c:v>
                </c:pt>
                <c:pt idx="550">
                  <c:v>-0.30383300000000002</c:v>
                </c:pt>
                <c:pt idx="551">
                  <c:v>-0.60383299999999995</c:v>
                </c:pt>
                <c:pt idx="552">
                  <c:v>-0.903833</c:v>
                </c:pt>
                <c:pt idx="553">
                  <c:v>-1.20383</c:v>
                </c:pt>
                <c:pt idx="554">
                  <c:v>-1.50383</c:v>
                </c:pt>
                <c:pt idx="555">
                  <c:v>-1.80383</c:v>
                </c:pt>
                <c:pt idx="556">
                  <c:v>-2.1038299999999999</c:v>
                </c:pt>
                <c:pt idx="557">
                  <c:v>-2.4038300000000001</c:v>
                </c:pt>
                <c:pt idx="558">
                  <c:v>-2.70383</c:v>
                </c:pt>
                <c:pt idx="559">
                  <c:v>-3.0038299999999998</c:v>
                </c:pt>
                <c:pt idx="560">
                  <c:v>-3.30383</c:v>
                </c:pt>
                <c:pt idx="561">
                  <c:v>-3.6038299999999999</c:v>
                </c:pt>
                <c:pt idx="562">
                  <c:v>-3.9038300000000001</c:v>
                </c:pt>
                <c:pt idx="563">
                  <c:v>-4.20383</c:v>
                </c:pt>
                <c:pt idx="564">
                  <c:v>-4.5038299999999998</c:v>
                </c:pt>
                <c:pt idx="565">
                  <c:v>-4.8038299999999996</c:v>
                </c:pt>
                <c:pt idx="566">
                  <c:v>-5.1038300000000003</c:v>
                </c:pt>
                <c:pt idx="567">
                  <c:v>-5.4038300000000001</c:v>
                </c:pt>
                <c:pt idx="568">
                  <c:v>-5.70383</c:v>
                </c:pt>
                <c:pt idx="569">
                  <c:v>-6.0038299999999998</c:v>
                </c:pt>
                <c:pt idx="570">
                  <c:v>-6.3038299999999996</c:v>
                </c:pt>
                <c:pt idx="571">
                  <c:v>-6.6038300000000003</c:v>
                </c:pt>
                <c:pt idx="572">
                  <c:v>-6.9038300000000001</c:v>
                </c:pt>
                <c:pt idx="573">
                  <c:v>-7.20383</c:v>
                </c:pt>
                <c:pt idx="574">
                  <c:v>-7.5038299999999998</c:v>
                </c:pt>
                <c:pt idx="575">
                  <c:v>-7.8038299999999996</c:v>
                </c:pt>
                <c:pt idx="576">
                  <c:v>-8.1038300000000003</c:v>
                </c:pt>
                <c:pt idx="577">
                  <c:v>-8.4038299999999992</c:v>
                </c:pt>
                <c:pt idx="578">
                  <c:v>-8.70383</c:v>
                </c:pt>
                <c:pt idx="579">
                  <c:v>-9.0038300000000007</c:v>
                </c:pt>
                <c:pt idx="580">
                  <c:v>-9.3038299999999996</c:v>
                </c:pt>
                <c:pt idx="581">
                  <c:v>-9.6038300000000003</c:v>
                </c:pt>
                <c:pt idx="582">
                  <c:v>-9.9038299999999992</c:v>
                </c:pt>
                <c:pt idx="583">
                  <c:v>-10.203799999999999</c:v>
                </c:pt>
                <c:pt idx="584">
                  <c:v>-10.5038</c:v>
                </c:pt>
                <c:pt idx="585">
                  <c:v>-10.803800000000001</c:v>
                </c:pt>
                <c:pt idx="586">
                  <c:v>-11.1038</c:v>
                </c:pt>
                <c:pt idx="587">
                  <c:v>-11.4038</c:v>
                </c:pt>
                <c:pt idx="588">
                  <c:v>-11.703799999999999</c:v>
                </c:pt>
                <c:pt idx="589">
                  <c:v>-12.0038</c:v>
                </c:pt>
                <c:pt idx="590">
                  <c:v>-12.303800000000001</c:v>
                </c:pt>
                <c:pt idx="591">
                  <c:v>-12.6038</c:v>
                </c:pt>
                <c:pt idx="592">
                  <c:v>-12.9038</c:v>
                </c:pt>
                <c:pt idx="593">
                  <c:v>-13.203799999999999</c:v>
                </c:pt>
                <c:pt idx="594">
                  <c:v>-13.5038</c:v>
                </c:pt>
                <c:pt idx="595">
                  <c:v>-13.803800000000001</c:v>
                </c:pt>
                <c:pt idx="596">
                  <c:v>-14.1038</c:v>
                </c:pt>
                <c:pt idx="597">
                  <c:v>-14.4038</c:v>
                </c:pt>
                <c:pt idx="598">
                  <c:v>-14.703799999999999</c:v>
                </c:pt>
                <c:pt idx="599">
                  <c:v>-15.0038</c:v>
                </c:pt>
                <c:pt idx="600">
                  <c:v>-14.6538</c:v>
                </c:pt>
                <c:pt idx="601">
                  <c:v>-14.303800000000001</c:v>
                </c:pt>
                <c:pt idx="602">
                  <c:v>-13.953799999999999</c:v>
                </c:pt>
                <c:pt idx="603">
                  <c:v>-13.6038</c:v>
                </c:pt>
                <c:pt idx="604">
                  <c:v>-13.2538</c:v>
                </c:pt>
                <c:pt idx="605">
                  <c:v>-12.9038</c:v>
                </c:pt>
                <c:pt idx="606">
                  <c:v>-12.553800000000001</c:v>
                </c:pt>
                <c:pt idx="607">
                  <c:v>-12.203799999999999</c:v>
                </c:pt>
                <c:pt idx="608">
                  <c:v>-11.8538</c:v>
                </c:pt>
                <c:pt idx="609">
                  <c:v>-11.5038</c:v>
                </c:pt>
                <c:pt idx="610">
                  <c:v>-11.1538</c:v>
                </c:pt>
                <c:pt idx="611">
                  <c:v>-10.803800000000001</c:v>
                </c:pt>
                <c:pt idx="612">
                  <c:v>-10.453799999999999</c:v>
                </c:pt>
                <c:pt idx="613">
                  <c:v>-10.1038</c:v>
                </c:pt>
                <c:pt idx="614">
                  <c:v>-9.7538300000000007</c:v>
                </c:pt>
                <c:pt idx="615">
                  <c:v>-9.4038299999999992</c:v>
                </c:pt>
                <c:pt idx="616">
                  <c:v>-9.0538299999999996</c:v>
                </c:pt>
                <c:pt idx="617">
                  <c:v>-8.70383</c:v>
                </c:pt>
                <c:pt idx="618">
                  <c:v>-8.3538300000000003</c:v>
                </c:pt>
                <c:pt idx="619">
                  <c:v>-8.0038300000000007</c:v>
                </c:pt>
                <c:pt idx="620">
                  <c:v>-7.6538300000000001</c:v>
                </c:pt>
                <c:pt idx="621">
                  <c:v>-7.3038299999999996</c:v>
                </c:pt>
                <c:pt idx="622">
                  <c:v>-6.95383</c:v>
                </c:pt>
                <c:pt idx="623">
                  <c:v>-6.6038300000000003</c:v>
                </c:pt>
                <c:pt idx="624">
                  <c:v>-6.2538299999999998</c:v>
                </c:pt>
                <c:pt idx="625">
                  <c:v>-5.9038300000000001</c:v>
                </c:pt>
                <c:pt idx="626">
                  <c:v>-5.5538299999999996</c:v>
                </c:pt>
                <c:pt idx="627">
                  <c:v>-5.20383</c:v>
                </c:pt>
                <c:pt idx="628">
                  <c:v>-4.8538300000000003</c:v>
                </c:pt>
                <c:pt idx="629">
                  <c:v>-4.5038299999999998</c:v>
                </c:pt>
                <c:pt idx="630">
                  <c:v>-4.1538300000000001</c:v>
                </c:pt>
                <c:pt idx="631">
                  <c:v>-3.80383</c:v>
                </c:pt>
                <c:pt idx="632">
                  <c:v>-3.45383</c:v>
                </c:pt>
                <c:pt idx="633">
                  <c:v>-3.1038299999999999</c:v>
                </c:pt>
                <c:pt idx="634">
                  <c:v>-2.7538299999999998</c:v>
                </c:pt>
                <c:pt idx="635">
                  <c:v>-2.4038300000000001</c:v>
                </c:pt>
                <c:pt idx="636">
                  <c:v>-2.05383</c:v>
                </c:pt>
                <c:pt idx="637">
                  <c:v>-1.70383</c:v>
                </c:pt>
                <c:pt idx="638">
                  <c:v>-1.3538300000000001</c:v>
                </c:pt>
                <c:pt idx="639">
                  <c:v>-1.00383</c:v>
                </c:pt>
                <c:pt idx="640">
                  <c:v>-0.653833</c:v>
                </c:pt>
                <c:pt idx="641">
                  <c:v>-0.30383300000000002</c:v>
                </c:pt>
                <c:pt idx="642">
                  <c:v>4.6167300000000001E-2</c:v>
                </c:pt>
                <c:pt idx="643">
                  <c:v>0.39616699999999999</c:v>
                </c:pt>
                <c:pt idx="644">
                  <c:v>0.74616700000000002</c:v>
                </c:pt>
                <c:pt idx="645">
                  <c:v>1.0961700000000001</c:v>
                </c:pt>
                <c:pt idx="646">
                  <c:v>1.44617</c:v>
                </c:pt>
                <c:pt idx="647">
                  <c:v>1.79617</c:v>
                </c:pt>
                <c:pt idx="648">
                  <c:v>2.1461700000000001</c:v>
                </c:pt>
                <c:pt idx="649">
                  <c:v>2.4961700000000002</c:v>
                </c:pt>
                <c:pt idx="650">
                  <c:v>2.8461699999999999</c:v>
                </c:pt>
                <c:pt idx="651">
                  <c:v>3.19617</c:v>
                </c:pt>
                <c:pt idx="652">
                  <c:v>3.54617</c:v>
                </c:pt>
                <c:pt idx="653">
                  <c:v>3.8961700000000001</c:v>
                </c:pt>
                <c:pt idx="654">
                  <c:v>4.2461700000000002</c:v>
                </c:pt>
                <c:pt idx="655">
                  <c:v>4.5961699999999999</c:v>
                </c:pt>
                <c:pt idx="656">
                  <c:v>4.9461700000000004</c:v>
                </c:pt>
                <c:pt idx="657">
                  <c:v>5.29617</c:v>
                </c:pt>
                <c:pt idx="658">
                  <c:v>5.6461699999999997</c:v>
                </c:pt>
                <c:pt idx="659">
                  <c:v>5.9961700000000002</c:v>
                </c:pt>
                <c:pt idx="660">
                  <c:v>6.3461699999999999</c:v>
                </c:pt>
                <c:pt idx="661">
                  <c:v>6.6961700000000004</c:v>
                </c:pt>
                <c:pt idx="662">
                  <c:v>7.04617</c:v>
                </c:pt>
                <c:pt idx="663">
                  <c:v>7.3961699999999997</c:v>
                </c:pt>
                <c:pt idx="664">
                  <c:v>7.7461700000000002</c:v>
                </c:pt>
                <c:pt idx="665">
                  <c:v>8.0961700000000008</c:v>
                </c:pt>
                <c:pt idx="666">
                  <c:v>8.4461700000000004</c:v>
                </c:pt>
                <c:pt idx="667">
                  <c:v>8.79617</c:v>
                </c:pt>
                <c:pt idx="668">
                  <c:v>9.1461699999999997</c:v>
                </c:pt>
                <c:pt idx="669">
                  <c:v>9.4961699999999993</c:v>
                </c:pt>
                <c:pt idx="670">
                  <c:v>9.8461700000000008</c:v>
                </c:pt>
                <c:pt idx="671">
                  <c:v>10.196199999999999</c:v>
                </c:pt>
                <c:pt idx="672">
                  <c:v>10.546200000000001</c:v>
                </c:pt>
                <c:pt idx="673">
                  <c:v>10.8962</c:v>
                </c:pt>
                <c:pt idx="674">
                  <c:v>11.2462</c:v>
                </c:pt>
                <c:pt idx="675">
                  <c:v>11.5962</c:v>
                </c:pt>
                <c:pt idx="676">
                  <c:v>11.946199999999999</c:v>
                </c:pt>
                <c:pt idx="677">
                  <c:v>12.296200000000001</c:v>
                </c:pt>
                <c:pt idx="678">
                  <c:v>12.6462</c:v>
                </c:pt>
                <c:pt idx="679">
                  <c:v>12.9962</c:v>
                </c:pt>
                <c:pt idx="680">
                  <c:v>13.3462</c:v>
                </c:pt>
                <c:pt idx="681">
                  <c:v>13.696199999999999</c:v>
                </c:pt>
                <c:pt idx="682">
                  <c:v>14.046200000000001</c:v>
                </c:pt>
                <c:pt idx="683">
                  <c:v>14.3962</c:v>
                </c:pt>
                <c:pt idx="684">
                  <c:v>14.7462</c:v>
                </c:pt>
                <c:pt idx="685">
                  <c:v>15.0962</c:v>
                </c:pt>
                <c:pt idx="686">
                  <c:v>15.446199999999999</c:v>
                </c:pt>
                <c:pt idx="687">
                  <c:v>15.796200000000001</c:v>
                </c:pt>
                <c:pt idx="688">
                  <c:v>16.1462</c:v>
                </c:pt>
                <c:pt idx="689">
                  <c:v>16.496200000000002</c:v>
                </c:pt>
                <c:pt idx="690">
                  <c:v>16.8462</c:v>
                </c:pt>
                <c:pt idx="691">
                  <c:v>17.196200000000001</c:v>
                </c:pt>
                <c:pt idx="692">
                  <c:v>17.546199999999999</c:v>
                </c:pt>
                <c:pt idx="693">
                  <c:v>17.8962</c:v>
                </c:pt>
                <c:pt idx="694">
                  <c:v>18.246200000000002</c:v>
                </c:pt>
                <c:pt idx="695">
                  <c:v>18.5962</c:v>
                </c:pt>
                <c:pt idx="696">
                  <c:v>18.946200000000001</c:v>
                </c:pt>
                <c:pt idx="697">
                  <c:v>19.296199999999999</c:v>
                </c:pt>
                <c:pt idx="698">
                  <c:v>19.6462</c:v>
                </c:pt>
                <c:pt idx="699">
                  <c:v>19.996200000000002</c:v>
                </c:pt>
                <c:pt idx="700">
                  <c:v>19.5962</c:v>
                </c:pt>
                <c:pt idx="701">
                  <c:v>19.196200000000001</c:v>
                </c:pt>
                <c:pt idx="702">
                  <c:v>18.796199999999999</c:v>
                </c:pt>
                <c:pt idx="703">
                  <c:v>18.3962</c:v>
                </c:pt>
                <c:pt idx="704">
                  <c:v>17.996200000000002</c:v>
                </c:pt>
                <c:pt idx="705">
                  <c:v>17.5962</c:v>
                </c:pt>
                <c:pt idx="706">
                  <c:v>17.196200000000001</c:v>
                </c:pt>
                <c:pt idx="707">
                  <c:v>16.796199999999999</c:v>
                </c:pt>
                <c:pt idx="708">
                  <c:v>16.3962</c:v>
                </c:pt>
                <c:pt idx="709">
                  <c:v>15.9962</c:v>
                </c:pt>
                <c:pt idx="710">
                  <c:v>15.5962</c:v>
                </c:pt>
                <c:pt idx="711">
                  <c:v>15.196199999999999</c:v>
                </c:pt>
                <c:pt idx="712">
                  <c:v>14.796200000000001</c:v>
                </c:pt>
                <c:pt idx="713">
                  <c:v>14.3962</c:v>
                </c:pt>
                <c:pt idx="714">
                  <c:v>13.9962</c:v>
                </c:pt>
                <c:pt idx="715">
                  <c:v>13.5962</c:v>
                </c:pt>
                <c:pt idx="716">
                  <c:v>13.196199999999999</c:v>
                </c:pt>
                <c:pt idx="717">
                  <c:v>12.796200000000001</c:v>
                </c:pt>
                <c:pt idx="718">
                  <c:v>12.3962</c:v>
                </c:pt>
                <c:pt idx="719">
                  <c:v>11.9962</c:v>
                </c:pt>
                <c:pt idx="720">
                  <c:v>11.5962</c:v>
                </c:pt>
                <c:pt idx="721">
                  <c:v>11.196199999999999</c:v>
                </c:pt>
                <c:pt idx="722">
                  <c:v>10.796200000000001</c:v>
                </c:pt>
                <c:pt idx="723">
                  <c:v>10.3962</c:v>
                </c:pt>
                <c:pt idx="724">
                  <c:v>9.9961699999999993</c:v>
                </c:pt>
                <c:pt idx="725">
                  <c:v>9.5961700000000008</c:v>
                </c:pt>
                <c:pt idx="726">
                  <c:v>9.1961700000000004</c:v>
                </c:pt>
                <c:pt idx="727">
                  <c:v>8.79617</c:v>
                </c:pt>
                <c:pt idx="728">
                  <c:v>8.3961699999999997</c:v>
                </c:pt>
                <c:pt idx="729">
                  <c:v>7.9961700000000002</c:v>
                </c:pt>
                <c:pt idx="730">
                  <c:v>7.5961699999999999</c:v>
                </c:pt>
                <c:pt idx="731">
                  <c:v>7.1961700000000004</c:v>
                </c:pt>
                <c:pt idx="732">
                  <c:v>6.79617</c:v>
                </c:pt>
                <c:pt idx="733">
                  <c:v>6.3961699999999997</c:v>
                </c:pt>
                <c:pt idx="734">
                  <c:v>5.9961700000000002</c:v>
                </c:pt>
                <c:pt idx="735">
                  <c:v>5.5961699999999999</c:v>
                </c:pt>
                <c:pt idx="736">
                  <c:v>5.1961700000000004</c:v>
                </c:pt>
                <c:pt idx="737">
                  <c:v>4.79617</c:v>
                </c:pt>
                <c:pt idx="738">
                  <c:v>4.3961699999999997</c:v>
                </c:pt>
                <c:pt idx="739">
                  <c:v>3.9961700000000002</c:v>
                </c:pt>
                <c:pt idx="740">
                  <c:v>3.5961699999999999</c:v>
                </c:pt>
                <c:pt idx="741">
                  <c:v>3.19617</c:v>
                </c:pt>
                <c:pt idx="742">
                  <c:v>2.79617</c:v>
                </c:pt>
                <c:pt idx="743">
                  <c:v>2.3961700000000001</c:v>
                </c:pt>
                <c:pt idx="744">
                  <c:v>1.99617</c:v>
                </c:pt>
                <c:pt idx="745">
                  <c:v>1.5961700000000001</c:v>
                </c:pt>
                <c:pt idx="746">
                  <c:v>1.19617</c:v>
                </c:pt>
                <c:pt idx="747">
                  <c:v>0.79616699999999996</c:v>
                </c:pt>
                <c:pt idx="748">
                  <c:v>0.39616699999999999</c:v>
                </c:pt>
                <c:pt idx="749">
                  <c:v>-3.83271E-3</c:v>
                </c:pt>
                <c:pt idx="750">
                  <c:v>-0.403833</c:v>
                </c:pt>
                <c:pt idx="751">
                  <c:v>-0.80383300000000002</c:v>
                </c:pt>
                <c:pt idx="752">
                  <c:v>-1.20383</c:v>
                </c:pt>
                <c:pt idx="753">
                  <c:v>-1.6038300000000001</c:v>
                </c:pt>
                <c:pt idx="754">
                  <c:v>-2.0038299999999998</c:v>
                </c:pt>
                <c:pt idx="755">
                  <c:v>-2.4038300000000001</c:v>
                </c:pt>
                <c:pt idx="756">
                  <c:v>-2.80383</c:v>
                </c:pt>
                <c:pt idx="757">
                  <c:v>-3.20383</c:v>
                </c:pt>
                <c:pt idx="758">
                  <c:v>-3.6038299999999999</c:v>
                </c:pt>
                <c:pt idx="759">
                  <c:v>-4.0038299999999998</c:v>
                </c:pt>
                <c:pt idx="760">
                  <c:v>-4.4038300000000001</c:v>
                </c:pt>
                <c:pt idx="761">
                  <c:v>-4.8038299999999996</c:v>
                </c:pt>
                <c:pt idx="762">
                  <c:v>-5.20383</c:v>
                </c:pt>
                <c:pt idx="763">
                  <c:v>-5.6038300000000003</c:v>
                </c:pt>
                <c:pt idx="764">
                  <c:v>-6.0038299999999998</c:v>
                </c:pt>
                <c:pt idx="765">
                  <c:v>-6.4038300000000001</c:v>
                </c:pt>
                <c:pt idx="766">
                  <c:v>-6.8038299999999996</c:v>
                </c:pt>
                <c:pt idx="767">
                  <c:v>-7.20383</c:v>
                </c:pt>
                <c:pt idx="768">
                  <c:v>-7.6038300000000003</c:v>
                </c:pt>
                <c:pt idx="769">
                  <c:v>-8.0038300000000007</c:v>
                </c:pt>
                <c:pt idx="770">
                  <c:v>-8.4038299999999992</c:v>
                </c:pt>
                <c:pt idx="771">
                  <c:v>-8.8038299999999996</c:v>
                </c:pt>
                <c:pt idx="772">
                  <c:v>-9.20383</c:v>
                </c:pt>
                <c:pt idx="773">
                  <c:v>-9.6038300000000003</c:v>
                </c:pt>
                <c:pt idx="774">
                  <c:v>-10.0038</c:v>
                </c:pt>
                <c:pt idx="775">
                  <c:v>-10.4038</c:v>
                </c:pt>
                <c:pt idx="776">
                  <c:v>-10.803800000000001</c:v>
                </c:pt>
                <c:pt idx="777">
                  <c:v>-11.203799999999999</c:v>
                </c:pt>
                <c:pt idx="778">
                  <c:v>-11.6038</c:v>
                </c:pt>
                <c:pt idx="779">
                  <c:v>-12.0038</c:v>
                </c:pt>
                <c:pt idx="780">
                  <c:v>-12.4038</c:v>
                </c:pt>
                <c:pt idx="781">
                  <c:v>-12.803800000000001</c:v>
                </c:pt>
                <c:pt idx="782">
                  <c:v>-13.203799999999999</c:v>
                </c:pt>
                <c:pt idx="783">
                  <c:v>-13.6038</c:v>
                </c:pt>
                <c:pt idx="784">
                  <c:v>-14.0038</c:v>
                </c:pt>
                <c:pt idx="785">
                  <c:v>-14.4038</c:v>
                </c:pt>
                <c:pt idx="786">
                  <c:v>-14.803800000000001</c:v>
                </c:pt>
                <c:pt idx="787">
                  <c:v>-15.203799999999999</c:v>
                </c:pt>
                <c:pt idx="788">
                  <c:v>-15.6038</c:v>
                </c:pt>
                <c:pt idx="789">
                  <c:v>-16.003799999999998</c:v>
                </c:pt>
                <c:pt idx="790">
                  <c:v>-16.4038</c:v>
                </c:pt>
                <c:pt idx="791">
                  <c:v>-16.803799999999999</c:v>
                </c:pt>
                <c:pt idx="792">
                  <c:v>-17.203800000000001</c:v>
                </c:pt>
                <c:pt idx="793">
                  <c:v>-17.6038</c:v>
                </c:pt>
                <c:pt idx="794">
                  <c:v>-18.003799999999998</c:v>
                </c:pt>
                <c:pt idx="795">
                  <c:v>-18.4038</c:v>
                </c:pt>
                <c:pt idx="796">
                  <c:v>-18.803799999999999</c:v>
                </c:pt>
                <c:pt idx="797">
                  <c:v>-19.203800000000001</c:v>
                </c:pt>
                <c:pt idx="798">
                  <c:v>-19.6038</c:v>
                </c:pt>
                <c:pt idx="799">
                  <c:v>-20.003799999999998</c:v>
                </c:pt>
                <c:pt idx="800">
                  <c:v>-19.553799999999999</c:v>
                </c:pt>
                <c:pt idx="801">
                  <c:v>-19.1038</c:v>
                </c:pt>
                <c:pt idx="802">
                  <c:v>-18.6538</c:v>
                </c:pt>
                <c:pt idx="803">
                  <c:v>-18.203800000000001</c:v>
                </c:pt>
                <c:pt idx="804">
                  <c:v>-17.753799999999998</c:v>
                </c:pt>
                <c:pt idx="805">
                  <c:v>-17.303799999999999</c:v>
                </c:pt>
                <c:pt idx="806">
                  <c:v>-16.8538</c:v>
                </c:pt>
                <c:pt idx="807">
                  <c:v>-16.4038</c:v>
                </c:pt>
                <c:pt idx="808">
                  <c:v>-15.953799999999999</c:v>
                </c:pt>
                <c:pt idx="809">
                  <c:v>-15.5038</c:v>
                </c:pt>
                <c:pt idx="810">
                  <c:v>-15.053800000000001</c:v>
                </c:pt>
                <c:pt idx="811">
                  <c:v>-14.6038</c:v>
                </c:pt>
                <c:pt idx="812">
                  <c:v>-14.1538</c:v>
                </c:pt>
                <c:pt idx="813">
                  <c:v>-13.703799999999999</c:v>
                </c:pt>
                <c:pt idx="814">
                  <c:v>-13.2538</c:v>
                </c:pt>
                <c:pt idx="815">
                  <c:v>-12.803800000000001</c:v>
                </c:pt>
                <c:pt idx="816">
                  <c:v>-12.3538</c:v>
                </c:pt>
                <c:pt idx="817">
                  <c:v>-11.9038</c:v>
                </c:pt>
                <c:pt idx="818">
                  <c:v>-11.453799999999999</c:v>
                </c:pt>
                <c:pt idx="819">
                  <c:v>-11.0038</c:v>
                </c:pt>
                <c:pt idx="820">
                  <c:v>-10.553800000000001</c:v>
                </c:pt>
                <c:pt idx="821">
                  <c:v>-10.1038</c:v>
                </c:pt>
                <c:pt idx="822">
                  <c:v>-9.6538299999999992</c:v>
                </c:pt>
                <c:pt idx="823">
                  <c:v>-9.20383</c:v>
                </c:pt>
                <c:pt idx="824">
                  <c:v>-8.7538300000000007</c:v>
                </c:pt>
                <c:pt idx="825">
                  <c:v>-8.3038299999999996</c:v>
                </c:pt>
                <c:pt idx="826">
                  <c:v>-7.8538300000000003</c:v>
                </c:pt>
                <c:pt idx="827">
                  <c:v>-7.4038300000000001</c:v>
                </c:pt>
                <c:pt idx="828">
                  <c:v>-6.95383</c:v>
                </c:pt>
                <c:pt idx="829">
                  <c:v>-6.5038299999999998</c:v>
                </c:pt>
                <c:pt idx="830">
                  <c:v>-6.0538299999999996</c:v>
                </c:pt>
                <c:pt idx="831">
                  <c:v>-5.6038300000000003</c:v>
                </c:pt>
                <c:pt idx="832">
                  <c:v>-5.1538300000000001</c:v>
                </c:pt>
                <c:pt idx="833">
                  <c:v>-4.70383</c:v>
                </c:pt>
                <c:pt idx="834">
                  <c:v>-4.2538299999999998</c:v>
                </c:pt>
                <c:pt idx="835">
                  <c:v>-3.80383</c:v>
                </c:pt>
                <c:pt idx="836">
                  <c:v>-3.3538299999999999</c:v>
                </c:pt>
                <c:pt idx="837">
                  <c:v>-2.9038300000000001</c:v>
                </c:pt>
                <c:pt idx="838">
                  <c:v>-2.45383</c:v>
                </c:pt>
                <c:pt idx="839">
                  <c:v>-2.0038299999999998</c:v>
                </c:pt>
                <c:pt idx="840">
                  <c:v>-1.55383</c:v>
                </c:pt>
                <c:pt idx="841">
                  <c:v>-1.1038300000000001</c:v>
                </c:pt>
                <c:pt idx="842">
                  <c:v>-0.653833</c:v>
                </c:pt>
                <c:pt idx="843">
                  <c:v>-0.20383299999999999</c:v>
                </c:pt>
                <c:pt idx="844">
                  <c:v>0.246167</c:v>
                </c:pt>
                <c:pt idx="845">
                  <c:v>0.69616699999999998</c:v>
                </c:pt>
                <c:pt idx="846">
                  <c:v>1.1461699999999999</c:v>
                </c:pt>
                <c:pt idx="847">
                  <c:v>1.5961700000000001</c:v>
                </c:pt>
                <c:pt idx="848">
                  <c:v>2.04617</c:v>
                </c:pt>
                <c:pt idx="849">
                  <c:v>2.4961700000000002</c:v>
                </c:pt>
                <c:pt idx="850">
                  <c:v>2.94617</c:v>
                </c:pt>
                <c:pt idx="851">
                  <c:v>3.3961700000000001</c:v>
                </c:pt>
                <c:pt idx="852">
                  <c:v>3.8461699999999999</c:v>
                </c:pt>
                <c:pt idx="853">
                  <c:v>4.29617</c:v>
                </c:pt>
                <c:pt idx="854">
                  <c:v>4.7461700000000002</c:v>
                </c:pt>
                <c:pt idx="855">
                  <c:v>5.1961700000000004</c:v>
                </c:pt>
                <c:pt idx="856">
                  <c:v>5.6461699999999997</c:v>
                </c:pt>
                <c:pt idx="857">
                  <c:v>6.0961699999999999</c:v>
                </c:pt>
                <c:pt idx="858">
                  <c:v>6.54617</c:v>
                </c:pt>
                <c:pt idx="859">
                  <c:v>6.9961700000000002</c:v>
                </c:pt>
                <c:pt idx="860">
                  <c:v>7.4461700000000004</c:v>
                </c:pt>
                <c:pt idx="861">
                  <c:v>7.8961699999999997</c:v>
                </c:pt>
                <c:pt idx="862">
                  <c:v>8.3461700000000008</c:v>
                </c:pt>
                <c:pt idx="863">
                  <c:v>8.79617</c:v>
                </c:pt>
                <c:pt idx="864">
                  <c:v>9.2461699999999993</c:v>
                </c:pt>
                <c:pt idx="865">
                  <c:v>9.6961700000000004</c:v>
                </c:pt>
                <c:pt idx="866">
                  <c:v>10.1462</c:v>
                </c:pt>
                <c:pt idx="867">
                  <c:v>10.5962</c:v>
                </c:pt>
                <c:pt idx="868">
                  <c:v>11.046200000000001</c:v>
                </c:pt>
                <c:pt idx="869">
                  <c:v>11.4962</c:v>
                </c:pt>
                <c:pt idx="870">
                  <c:v>11.946199999999999</c:v>
                </c:pt>
                <c:pt idx="871">
                  <c:v>12.3962</c:v>
                </c:pt>
                <c:pt idx="872">
                  <c:v>12.8462</c:v>
                </c:pt>
                <c:pt idx="873">
                  <c:v>13.296200000000001</c:v>
                </c:pt>
                <c:pt idx="874">
                  <c:v>13.7462</c:v>
                </c:pt>
                <c:pt idx="875">
                  <c:v>14.196199999999999</c:v>
                </c:pt>
                <c:pt idx="876">
                  <c:v>14.6462</c:v>
                </c:pt>
                <c:pt idx="877">
                  <c:v>15.0962</c:v>
                </c:pt>
                <c:pt idx="878">
                  <c:v>15.546200000000001</c:v>
                </c:pt>
                <c:pt idx="879">
                  <c:v>15.9962</c:v>
                </c:pt>
                <c:pt idx="880">
                  <c:v>16.446200000000001</c:v>
                </c:pt>
                <c:pt idx="881">
                  <c:v>16.8962</c:v>
                </c:pt>
                <c:pt idx="882">
                  <c:v>17.3462</c:v>
                </c:pt>
                <c:pt idx="883">
                  <c:v>17.796199999999999</c:v>
                </c:pt>
                <c:pt idx="884">
                  <c:v>18.246200000000002</c:v>
                </c:pt>
                <c:pt idx="885">
                  <c:v>18.696200000000001</c:v>
                </c:pt>
                <c:pt idx="886">
                  <c:v>19.1462</c:v>
                </c:pt>
                <c:pt idx="887">
                  <c:v>19.5962</c:v>
                </c:pt>
                <c:pt idx="888">
                  <c:v>20.046199999999999</c:v>
                </c:pt>
                <c:pt idx="889">
                  <c:v>20.496200000000002</c:v>
                </c:pt>
                <c:pt idx="890">
                  <c:v>20.946200000000001</c:v>
                </c:pt>
                <c:pt idx="891">
                  <c:v>21.3962</c:v>
                </c:pt>
                <c:pt idx="892">
                  <c:v>21.8462</c:v>
                </c:pt>
                <c:pt idx="893">
                  <c:v>22.296199999999999</c:v>
                </c:pt>
                <c:pt idx="894">
                  <c:v>22.746200000000002</c:v>
                </c:pt>
                <c:pt idx="895">
                  <c:v>23.196200000000001</c:v>
                </c:pt>
                <c:pt idx="896">
                  <c:v>23.6462</c:v>
                </c:pt>
                <c:pt idx="897">
                  <c:v>24.0962</c:v>
                </c:pt>
                <c:pt idx="898">
                  <c:v>24.546199999999999</c:v>
                </c:pt>
                <c:pt idx="899">
                  <c:v>24.996200000000002</c:v>
                </c:pt>
                <c:pt idx="900">
                  <c:v>24.496200000000002</c:v>
                </c:pt>
                <c:pt idx="901">
                  <c:v>23.996200000000002</c:v>
                </c:pt>
                <c:pt idx="902">
                  <c:v>23.496200000000002</c:v>
                </c:pt>
                <c:pt idx="903">
                  <c:v>22.996200000000002</c:v>
                </c:pt>
                <c:pt idx="904">
                  <c:v>22.496200000000002</c:v>
                </c:pt>
                <c:pt idx="905">
                  <c:v>21.996200000000002</c:v>
                </c:pt>
                <c:pt idx="906">
                  <c:v>21.496200000000002</c:v>
                </c:pt>
                <c:pt idx="907">
                  <c:v>20.996200000000002</c:v>
                </c:pt>
                <c:pt idx="908">
                  <c:v>20.496200000000002</c:v>
                </c:pt>
                <c:pt idx="909">
                  <c:v>19.996200000000002</c:v>
                </c:pt>
                <c:pt idx="910">
                  <c:v>19.496200000000002</c:v>
                </c:pt>
                <c:pt idx="911">
                  <c:v>18.996200000000002</c:v>
                </c:pt>
                <c:pt idx="912">
                  <c:v>18.496200000000002</c:v>
                </c:pt>
                <c:pt idx="913">
                  <c:v>17.996200000000002</c:v>
                </c:pt>
                <c:pt idx="914">
                  <c:v>17.496200000000002</c:v>
                </c:pt>
                <c:pt idx="915">
                  <c:v>16.996200000000002</c:v>
                </c:pt>
                <c:pt idx="916">
                  <c:v>16.496200000000002</c:v>
                </c:pt>
                <c:pt idx="917">
                  <c:v>15.9962</c:v>
                </c:pt>
                <c:pt idx="918">
                  <c:v>15.4962</c:v>
                </c:pt>
                <c:pt idx="919">
                  <c:v>14.9962</c:v>
                </c:pt>
                <c:pt idx="920">
                  <c:v>14.4962</c:v>
                </c:pt>
                <c:pt idx="921">
                  <c:v>13.9962</c:v>
                </c:pt>
                <c:pt idx="922">
                  <c:v>13.4962</c:v>
                </c:pt>
                <c:pt idx="923">
                  <c:v>12.9962</c:v>
                </c:pt>
                <c:pt idx="924">
                  <c:v>12.4962</c:v>
                </c:pt>
                <c:pt idx="925">
                  <c:v>11.9962</c:v>
                </c:pt>
                <c:pt idx="926">
                  <c:v>11.4962</c:v>
                </c:pt>
                <c:pt idx="927">
                  <c:v>10.9962</c:v>
                </c:pt>
                <c:pt idx="928">
                  <c:v>10.4962</c:v>
                </c:pt>
                <c:pt idx="929">
                  <c:v>9.9961699999999993</c:v>
                </c:pt>
                <c:pt idx="930">
                  <c:v>9.4961699999999993</c:v>
                </c:pt>
                <c:pt idx="931">
                  <c:v>8.9961699999999993</c:v>
                </c:pt>
                <c:pt idx="932">
                  <c:v>8.4961699999999993</c:v>
                </c:pt>
                <c:pt idx="933">
                  <c:v>7.9961700000000002</c:v>
                </c:pt>
                <c:pt idx="934">
                  <c:v>7.4961700000000002</c:v>
                </c:pt>
                <c:pt idx="935">
                  <c:v>6.9961700000000002</c:v>
                </c:pt>
                <c:pt idx="936">
                  <c:v>6.4961700000000002</c:v>
                </c:pt>
                <c:pt idx="937">
                  <c:v>5.9961700000000002</c:v>
                </c:pt>
                <c:pt idx="938">
                  <c:v>5.4961700000000002</c:v>
                </c:pt>
                <c:pt idx="939">
                  <c:v>4.9961700000000002</c:v>
                </c:pt>
                <c:pt idx="940">
                  <c:v>4.4961700000000002</c:v>
                </c:pt>
                <c:pt idx="941">
                  <c:v>3.9961700000000002</c:v>
                </c:pt>
                <c:pt idx="942">
                  <c:v>3.4961700000000002</c:v>
                </c:pt>
                <c:pt idx="943">
                  <c:v>2.9961700000000002</c:v>
                </c:pt>
                <c:pt idx="944">
                  <c:v>2.4961700000000002</c:v>
                </c:pt>
                <c:pt idx="945">
                  <c:v>1.99617</c:v>
                </c:pt>
                <c:pt idx="946">
                  <c:v>1.49617</c:v>
                </c:pt>
                <c:pt idx="947">
                  <c:v>0.99616700000000002</c:v>
                </c:pt>
                <c:pt idx="948">
                  <c:v>0.49616700000000002</c:v>
                </c:pt>
                <c:pt idx="949">
                  <c:v>-3.83271E-3</c:v>
                </c:pt>
                <c:pt idx="950">
                  <c:v>-0.50383299999999998</c:v>
                </c:pt>
                <c:pt idx="951">
                  <c:v>-1.00383</c:v>
                </c:pt>
                <c:pt idx="952">
                  <c:v>-1.50383</c:v>
                </c:pt>
                <c:pt idx="953">
                  <c:v>-2.0038299999999998</c:v>
                </c:pt>
                <c:pt idx="954">
                  <c:v>-2.5038299999999998</c:v>
                </c:pt>
                <c:pt idx="955">
                  <c:v>-3.0038299999999998</c:v>
                </c:pt>
                <c:pt idx="956">
                  <c:v>-3.5038299999999998</c:v>
                </c:pt>
                <c:pt idx="957">
                  <c:v>-4.0038299999999998</c:v>
                </c:pt>
                <c:pt idx="958">
                  <c:v>-4.5038299999999998</c:v>
                </c:pt>
                <c:pt idx="959">
                  <c:v>-5.0038299999999998</c:v>
                </c:pt>
                <c:pt idx="960">
                  <c:v>-5.5038299999999998</c:v>
                </c:pt>
                <c:pt idx="961">
                  <c:v>-6.0038299999999998</c:v>
                </c:pt>
                <c:pt idx="962">
                  <c:v>-6.5038299999999998</c:v>
                </c:pt>
                <c:pt idx="963">
                  <c:v>-7.0038299999999998</c:v>
                </c:pt>
                <c:pt idx="964">
                  <c:v>-7.5038299999999998</c:v>
                </c:pt>
                <c:pt idx="965">
                  <c:v>-8.0038300000000007</c:v>
                </c:pt>
                <c:pt idx="966">
                  <c:v>-8.5038300000000007</c:v>
                </c:pt>
                <c:pt idx="967">
                  <c:v>-9.0038300000000007</c:v>
                </c:pt>
                <c:pt idx="968">
                  <c:v>-9.5038300000000007</c:v>
                </c:pt>
                <c:pt idx="969">
                  <c:v>-10.0038</c:v>
                </c:pt>
                <c:pt idx="970">
                  <c:v>-10.5038</c:v>
                </c:pt>
                <c:pt idx="971">
                  <c:v>-11.0038</c:v>
                </c:pt>
                <c:pt idx="972">
                  <c:v>-11.5038</c:v>
                </c:pt>
                <c:pt idx="973">
                  <c:v>-12.0038</c:v>
                </c:pt>
                <c:pt idx="974">
                  <c:v>-12.5038</c:v>
                </c:pt>
                <c:pt idx="975">
                  <c:v>-13.0038</c:v>
                </c:pt>
                <c:pt idx="976">
                  <c:v>-13.5038</c:v>
                </c:pt>
                <c:pt idx="977">
                  <c:v>-14.0038</c:v>
                </c:pt>
                <c:pt idx="978">
                  <c:v>-14.5038</c:v>
                </c:pt>
                <c:pt idx="979">
                  <c:v>-15.0038</c:v>
                </c:pt>
                <c:pt idx="980">
                  <c:v>-15.5038</c:v>
                </c:pt>
                <c:pt idx="981">
                  <c:v>-16.003799999999998</c:v>
                </c:pt>
                <c:pt idx="982">
                  <c:v>-16.503799999999998</c:v>
                </c:pt>
                <c:pt idx="983">
                  <c:v>-17.003799999999998</c:v>
                </c:pt>
                <c:pt idx="984">
                  <c:v>-17.503799999999998</c:v>
                </c:pt>
                <c:pt idx="985">
                  <c:v>-18.003799999999998</c:v>
                </c:pt>
                <c:pt idx="986">
                  <c:v>-18.503799999999998</c:v>
                </c:pt>
                <c:pt idx="987">
                  <c:v>-19.003799999999998</c:v>
                </c:pt>
                <c:pt idx="988">
                  <c:v>-19.503799999999998</c:v>
                </c:pt>
                <c:pt idx="989">
                  <c:v>-20.003799999999998</c:v>
                </c:pt>
                <c:pt idx="990">
                  <c:v>-20.503799999999998</c:v>
                </c:pt>
                <c:pt idx="991">
                  <c:v>-21.003799999999998</c:v>
                </c:pt>
                <c:pt idx="992">
                  <c:v>-21.503799999999998</c:v>
                </c:pt>
                <c:pt idx="993">
                  <c:v>-22.003799999999998</c:v>
                </c:pt>
                <c:pt idx="994">
                  <c:v>-22.503799999999998</c:v>
                </c:pt>
                <c:pt idx="995">
                  <c:v>-23.003799999999998</c:v>
                </c:pt>
                <c:pt idx="996">
                  <c:v>-23.503799999999998</c:v>
                </c:pt>
                <c:pt idx="997">
                  <c:v>-24.003799999999998</c:v>
                </c:pt>
                <c:pt idx="998">
                  <c:v>-24.503799999999998</c:v>
                </c:pt>
                <c:pt idx="999">
                  <c:v>-25.003799999999998</c:v>
                </c:pt>
              </c:numCache>
            </c:numRef>
          </c:xVal>
          <c:yVal>
            <c:numRef>
              <c:f>Result!$D$1:$D$5000</c:f>
              <c:numCache>
                <c:formatCode>General</c:formatCode>
                <c:ptCount val="5000"/>
                <c:pt idx="0">
                  <c:v>0.440523</c:v>
                </c:pt>
                <c:pt idx="1">
                  <c:v>0.49478800000000001</c:v>
                </c:pt>
                <c:pt idx="2">
                  <c:v>0.63120699999999996</c:v>
                </c:pt>
                <c:pt idx="3">
                  <c:v>0.80844000000000005</c:v>
                </c:pt>
                <c:pt idx="4">
                  <c:v>1.0058199999999999</c:v>
                </c:pt>
                <c:pt idx="5">
                  <c:v>1.2130000000000001</c:v>
                </c:pt>
                <c:pt idx="6">
                  <c:v>1.4248099999999999</c:v>
                </c:pt>
                <c:pt idx="7">
                  <c:v>1.6386799999999999</c:v>
                </c:pt>
                <c:pt idx="8">
                  <c:v>1.85331</c:v>
                </c:pt>
                <c:pt idx="9">
                  <c:v>2.0680499999999999</c:v>
                </c:pt>
                <c:pt idx="10">
                  <c:v>2.2825700000000002</c:v>
                </c:pt>
                <c:pt idx="11">
                  <c:v>2.4967100000000002</c:v>
                </c:pt>
                <c:pt idx="12">
                  <c:v>2.7103899999999999</c:v>
                </c:pt>
                <c:pt idx="13">
                  <c:v>2.9235699999999998</c:v>
                </c:pt>
                <c:pt idx="14">
                  <c:v>3.1362199999999998</c:v>
                </c:pt>
                <c:pt idx="15">
                  <c:v>3.3483299999999998</c:v>
                </c:pt>
                <c:pt idx="16">
                  <c:v>3.5598900000000002</c:v>
                </c:pt>
                <c:pt idx="17">
                  <c:v>3.7709100000000002</c:v>
                </c:pt>
                <c:pt idx="18">
                  <c:v>3.9813700000000001</c:v>
                </c:pt>
                <c:pt idx="19">
                  <c:v>4.1912799999999999</c:v>
                </c:pt>
                <c:pt idx="20">
                  <c:v>4.4006299999999996</c:v>
                </c:pt>
                <c:pt idx="21">
                  <c:v>4.6094200000000001</c:v>
                </c:pt>
                <c:pt idx="22">
                  <c:v>4.8176399999999999</c:v>
                </c:pt>
                <c:pt idx="23">
                  <c:v>5.0252999999999997</c:v>
                </c:pt>
                <c:pt idx="24">
                  <c:v>5.2324000000000002</c:v>
                </c:pt>
                <c:pt idx="25">
                  <c:v>5.4389200000000004</c:v>
                </c:pt>
                <c:pt idx="26">
                  <c:v>5.6448700000000001</c:v>
                </c:pt>
                <c:pt idx="27">
                  <c:v>5.85025</c:v>
                </c:pt>
                <c:pt idx="28">
                  <c:v>6.0550499999999996</c:v>
                </c:pt>
                <c:pt idx="29">
                  <c:v>6.2592699999999999</c:v>
                </c:pt>
                <c:pt idx="30">
                  <c:v>6.4629099999999999</c:v>
                </c:pt>
                <c:pt idx="31">
                  <c:v>6.6659600000000001</c:v>
                </c:pt>
                <c:pt idx="32">
                  <c:v>6.86843</c:v>
                </c:pt>
                <c:pt idx="33">
                  <c:v>7.0703100000000001</c:v>
                </c:pt>
                <c:pt idx="34">
                  <c:v>7.2716000000000003</c:v>
                </c:pt>
                <c:pt idx="35">
                  <c:v>7.4722999999999997</c:v>
                </c:pt>
                <c:pt idx="36">
                  <c:v>7.6723999999999997</c:v>
                </c:pt>
                <c:pt idx="37">
                  <c:v>7.8719000000000001</c:v>
                </c:pt>
                <c:pt idx="38">
                  <c:v>8.0708000000000002</c:v>
                </c:pt>
                <c:pt idx="39">
                  <c:v>8.2689599999999999</c:v>
                </c:pt>
                <c:pt idx="40">
                  <c:v>8.4657</c:v>
                </c:pt>
                <c:pt idx="41">
                  <c:v>8.6612100000000005</c:v>
                </c:pt>
                <c:pt idx="42">
                  <c:v>8.8554200000000005</c:v>
                </c:pt>
                <c:pt idx="43">
                  <c:v>9.0489700000000006</c:v>
                </c:pt>
                <c:pt idx="44">
                  <c:v>9.2409999999999997</c:v>
                </c:pt>
                <c:pt idx="45">
                  <c:v>9.4289400000000008</c:v>
                </c:pt>
                <c:pt idx="46">
                  <c:v>9.6137499999999996</c:v>
                </c:pt>
                <c:pt idx="47">
                  <c:v>9.7953200000000002</c:v>
                </c:pt>
                <c:pt idx="48">
                  <c:v>9.9758899999999997</c:v>
                </c:pt>
                <c:pt idx="49">
                  <c:v>10.1541</c:v>
                </c:pt>
                <c:pt idx="50">
                  <c:v>10.3286</c:v>
                </c:pt>
                <c:pt idx="51">
                  <c:v>10.499599999999999</c:v>
                </c:pt>
                <c:pt idx="52">
                  <c:v>10.667199999999999</c:v>
                </c:pt>
                <c:pt idx="53">
                  <c:v>10.833</c:v>
                </c:pt>
                <c:pt idx="54">
                  <c:v>10.997</c:v>
                </c:pt>
                <c:pt idx="55">
                  <c:v>11.157</c:v>
                </c:pt>
                <c:pt idx="56">
                  <c:v>11.314500000000001</c:v>
                </c:pt>
                <c:pt idx="57">
                  <c:v>11.4678</c:v>
                </c:pt>
                <c:pt idx="58">
                  <c:v>11.6191</c:v>
                </c:pt>
                <c:pt idx="59">
                  <c:v>11.7691</c:v>
                </c:pt>
                <c:pt idx="60">
                  <c:v>11.917</c:v>
                </c:pt>
                <c:pt idx="61">
                  <c:v>12.0601</c:v>
                </c:pt>
                <c:pt idx="62">
                  <c:v>12.200900000000001</c:v>
                </c:pt>
                <c:pt idx="63">
                  <c:v>12.337999999999999</c:v>
                </c:pt>
                <c:pt idx="64">
                  <c:v>12.4716</c:v>
                </c:pt>
                <c:pt idx="65">
                  <c:v>12.6036</c:v>
                </c:pt>
                <c:pt idx="66">
                  <c:v>12.734500000000001</c:v>
                </c:pt>
                <c:pt idx="67">
                  <c:v>12.8637</c:v>
                </c:pt>
                <c:pt idx="68">
                  <c:v>12.9894</c:v>
                </c:pt>
                <c:pt idx="69">
                  <c:v>13.112399999999999</c:v>
                </c:pt>
                <c:pt idx="70">
                  <c:v>13.232799999999999</c:v>
                </c:pt>
                <c:pt idx="71">
                  <c:v>13.3499</c:v>
                </c:pt>
                <c:pt idx="72">
                  <c:v>13.464700000000001</c:v>
                </c:pt>
                <c:pt idx="73">
                  <c:v>13.578200000000001</c:v>
                </c:pt>
                <c:pt idx="74">
                  <c:v>13.6905</c:v>
                </c:pt>
                <c:pt idx="75">
                  <c:v>13.8012</c:v>
                </c:pt>
                <c:pt idx="76">
                  <c:v>13.9093</c:v>
                </c:pt>
                <c:pt idx="77">
                  <c:v>14.015599999999999</c:v>
                </c:pt>
                <c:pt idx="78">
                  <c:v>14.120200000000001</c:v>
                </c:pt>
                <c:pt idx="79">
                  <c:v>14.2209</c:v>
                </c:pt>
                <c:pt idx="80">
                  <c:v>14.3195</c:v>
                </c:pt>
                <c:pt idx="81">
                  <c:v>14.416700000000001</c:v>
                </c:pt>
                <c:pt idx="82">
                  <c:v>14.512700000000001</c:v>
                </c:pt>
                <c:pt idx="83">
                  <c:v>14.6075</c:v>
                </c:pt>
                <c:pt idx="84">
                  <c:v>14.701000000000001</c:v>
                </c:pt>
                <c:pt idx="85">
                  <c:v>14.7927</c:v>
                </c:pt>
                <c:pt idx="86">
                  <c:v>14.882899999999999</c:v>
                </c:pt>
                <c:pt idx="87">
                  <c:v>14.9712</c:v>
                </c:pt>
                <c:pt idx="88">
                  <c:v>15.057700000000001</c:v>
                </c:pt>
                <c:pt idx="89">
                  <c:v>15.142799999999999</c:v>
                </c:pt>
                <c:pt idx="90">
                  <c:v>15.2264</c:v>
                </c:pt>
                <c:pt idx="91">
                  <c:v>15.3081</c:v>
                </c:pt>
                <c:pt idx="92">
                  <c:v>15.3886</c:v>
                </c:pt>
                <c:pt idx="93">
                  <c:v>15.468</c:v>
                </c:pt>
                <c:pt idx="94">
                  <c:v>15.546799999999999</c:v>
                </c:pt>
                <c:pt idx="95">
                  <c:v>15.624599999999999</c:v>
                </c:pt>
                <c:pt idx="96">
                  <c:v>15.700799999999999</c:v>
                </c:pt>
                <c:pt idx="97">
                  <c:v>15.7759</c:v>
                </c:pt>
                <c:pt idx="98">
                  <c:v>15.8497</c:v>
                </c:pt>
                <c:pt idx="99">
                  <c:v>15.9224</c:v>
                </c:pt>
                <c:pt idx="100">
                  <c:v>15.741099999999999</c:v>
                </c:pt>
                <c:pt idx="101">
                  <c:v>15.5175</c:v>
                </c:pt>
                <c:pt idx="102">
                  <c:v>15.288399999999999</c:v>
                </c:pt>
                <c:pt idx="103">
                  <c:v>15.0555</c:v>
                </c:pt>
                <c:pt idx="104">
                  <c:v>14.8142</c:v>
                </c:pt>
                <c:pt idx="105">
                  <c:v>14.5647</c:v>
                </c:pt>
                <c:pt idx="106">
                  <c:v>14.3071</c:v>
                </c:pt>
                <c:pt idx="107">
                  <c:v>14.0426</c:v>
                </c:pt>
                <c:pt idx="108">
                  <c:v>13.7728</c:v>
                </c:pt>
                <c:pt idx="109">
                  <c:v>13.4907</c:v>
                </c:pt>
                <c:pt idx="110">
                  <c:v>13.198399999999999</c:v>
                </c:pt>
                <c:pt idx="111">
                  <c:v>12.8969</c:v>
                </c:pt>
                <c:pt idx="112">
                  <c:v>12.591100000000001</c:v>
                </c:pt>
                <c:pt idx="113">
                  <c:v>12.2707</c:v>
                </c:pt>
                <c:pt idx="114">
                  <c:v>11.937099999999999</c:v>
                </c:pt>
                <c:pt idx="115">
                  <c:v>11.5984</c:v>
                </c:pt>
                <c:pt idx="116">
                  <c:v>11.247299999999999</c:v>
                </c:pt>
                <c:pt idx="117">
                  <c:v>10.881600000000001</c:v>
                </c:pt>
                <c:pt idx="118">
                  <c:v>10.507400000000001</c:v>
                </c:pt>
                <c:pt idx="119">
                  <c:v>10.1226</c:v>
                </c:pt>
                <c:pt idx="120">
                  <c:v>9.7269000000000005</c:v>
                </c:pt>
                <c:pt idx="121">
                  <c:v>9.3235399999999995</c:v>
                </c:pt>
                <c:pt idx="122">
                  <c:v>8.9089100000000006</c:v>
                </c:pt>
                <c:pt idx="123">
                  <c:v>8.4829699999999999</c:v>
                </c:pt>
                <c:pt idx="124">
                  <c:v>8.05044</c:v>
                </c:pt>
                <c:pt idx="125">
                  <c:v>7.6042199999999998</c:v>
                </c:pt>
                <c:pt idx="126">
                  <c:v>7.1508399999999996</c:v>
                </c:pt>
                <c:pt idx="127">
                  <c:v>6.6941699999999997</c:v>
                </c:pt>
                <c:pt idx="128">
                  <c:v>6.2359400000000003</c:v>
                </c:pt>
                <c:pt idx="129">
                  <c:v>5.7748299999999997</c:v>
                </c:pt>
                <c:pt idx="130">
                  <c:v>5.3109900000000003</c:v>
                </c:pt>
                <c:pt idx="131">
                  <c:v>4.8470599999999999</c:v>
                </c:pt>
                <c:pt idx="132">
                  <c:v>4.3831699999999998</c:v>
                </c:pt>
                <c:pt idx="133">
                  <c:v>3.9192999999999998</c:v>
                </c:pt>
                <c:pt idx="134">
                  <c:v>3.4555199999999999</c:v>
                </c:pt>
                <c:pt idx="135">
                  <c:v>2.9918100000000001</c:v>
                </c:pt>
                <c:pt idx="136">
                  <c:v>2.5282300000000002</c:v>
                </c:pt>
                <c:pt idx="137">
                  <c:v>2.0647899999999999</c:v>
                </c:pt>
                <c:pt idx="138">
                  <c:v>1.60165</c:v>
                </c:pt>
                <c:pt idx="139">
                  <c:v>1.1390100000000001</c:v>
                </c:pt>
                <c:pt idx="140">
                  <c:v>0.67696400000000001</c:v>
                </c:pt>
                <c:pt idx="141">
                  <c:v>0.21624099999999999</c:v>
                </c:pt>
                <c:pt idx="142">
                  <c:v>-0.24248800000000001</c:v>
                </c:pt>
                <c:pt idx="143">
                  <c:v>-0.69715499999999997</c:v>
                </c:pt>
                <c:pt idx="144">
                  <c:v>-1.1450499999999999</c:v>
                </c:pt>
                <c:pt idx="145">
                  <c:v>-1.58386</c:v>
                </c:pt>
                <c:pt idx="146">
                  <c:v>-2.0153300000000001</c:v>
                </c:pt>
                <c:pt idx="147">
                  <c:v>-2.4420500000000001</c:v>
                </c:pt>
                <c:pt idx="148">
                  <c:v>-2.86449</c:v>
                </c:pt>
                <c:pt idx="149">
                  <c:v>-3.28416</c:v>
                </c:pt>
                <c:pt idx="150">
                  <c:v>-3.6960199999999999</c:v>
                </c:pt>
                <c:pt idx="151">
                  <c:v>-4.0988199999999999</c:v>
                </c:pt>
                <c:pt idx="152">
                  <c:v>-4.4921499999999996</c:v>
                </c:pt>
                <c:pt idx="153">
                  <c:v>-4.87582</c:v>
                </c:pt>
                <c:pt idx="154">
                  <c:v>-5.2503299999999999</c:v>
                </c:pt>
                <c:pt idx="155">
                  <c:v>-5.6155900000000001</c:v>
                </c:pt>
                <c:pt idx="156">
                  <c:v>-5.9708600000000001</c:v>
                </c:pt>
                <c:pt idx="157">
                  <c:v>-6.3169300000000002</c:v>
                </c:pt>
                <c:pt idx="158">
                  <c:v>-6.6521999999999997</c:v>
                </c:pt>
                <c:pt idx="159">
                  <c:v>-6.9772800000000004</c:v>
                </c:pt>
                <c:pt idx="160">
                  <c:v>-7.2919799999999997</c:v>
                </c:pt>
                <c:pt idx="161">
                  <c:v>-7.59917</c:v>
                </c:pt>
                <c:pt idx="162">
                  <c:v>-7.8973300000000002</c:v>
                </c:pt>
                <c:pt idx="163">
                  <c:v>-8.1829800000000006</c:v>
                </c:pt>
                <c:pt idx="164">
                  <c:v>-8.4568600000000007</c:v>
                </c:pt>
                <c:pt idx="165">
                  <c:v>-8.7223699999999997</c:v>
                </c:pt>
                <c:pt idx="166">
                  <c:v>-8.9818700000000007</c:v>
                </c:pt>
                <c:pt idx="167">
                  <c:v>-9.2308199999999996</c:v>
                </c:pt>
                <c:pt idx="168">
                  <c:v>-9.4709599999999998</c:v>
                </c:pt>
                <c:pt idx="169">
                  <c:v>-9.7049800000000008</c:v>
                </c:pt>
                <c:pt idx="170">
                  <c:v>-9.9285499999999995</c:v>
                </c:pt>
                <c:pt idx="171">
                  <c:v>-10.144299999999999</c:v>
                </c:pt>
                <c:pt idx="172">
                  <c:v>-10.357100000000001</c:v>
                </c:pt>
                <c:pt idx="173">
                  <c:v>-10.5617</c:v>
                </c:pt>
                <c:pt idx="174">
                  <c:v>-10.758900000000001</c:v>
                </c:pt>
                <c:pt idx="175">
                  <c:v>-10.948700000000001</c:v>
                </c:pt>
                <c:pt idx="176">
                  <c:v>-11.135400000000001</c:v>
                </c:pt>
                <c:pt idx="177">
                  <c:v>-11.316599999999999</c:v>
                </c:pt>
                <c:pt idx="178">
                  <c:v>-11.4925</c:v>
                </c:pt>
                <c:pt idx="179">
                  <c:v>-11.6624</c:v>
                </c:pt>
                <c:pt idx="180">
                  <c:v>-11.8286</c:v>
                </c:pt>
                <c:pt idx="181">
                  <c:v>-11.991300000000001</c:v>
                </c:pt>
                <c:pt idx="182">
                  <c:v>-12.151199999999999</c:v>
                </c:pt>
                <c:pt idx="183">
                  <c:v>-12.3057</c:v>
                </c:pt>
                <c:pt idx="184">
                  <c:v>-12.456</c:v>
                </c:pt>
                <c:pt idx="185">
                  <c:v>-12.602499999999999</c:v>
                </c:pt>
                <c:pt idx="186">
                  <c:v>-12.746499999999999</c:v>
                </c:pt>
                <c:pt idx="187">
                  <c:v>-12.886900000000001</c:v>
                </c:pt>
                <c:pt idx="188">
                  <c:v>-13.0246</c:v>
                </c:pt>
                <c:pt idx="189">
                  <c:v>-13.1584</c:v>
                </c:pt>
                <c:pt idx="190">
                  <c:v>-13.2902</c:v>
                </c:pt>
                <c:pt idx="191">
                  <c:v>-13.419</c:v>
                </c:pt>
                <c:pt idx="192">
                  <c:v>-13.546099999999999</c:v>
                </c:pt>
                <c:pt idx="193">
                  <c:v>-13.671799999999999</c:v>
                </c:pt>
                <c:pt idx="194">
                  <c:v>-13.7959</c:v>
                </c:pt>
                <c:pt idx="195">
                  <c:v>-13.9178</c:v>
                </c:pt>
                <c:pt idx="196">
                  <c:v>-14.0372</c:v>
                </c:pt>
                <c:pt idx="197">
                  <c:v>-14.154299999999999</c:v>
                </c:pt>
                <c:pt idx="198">
                  <c:v>-14.270300000000001</c:v>
                </c:pt>
                <c:pt idx="199">
                  <c:v>-14.384</c:v>
                </c:pt>
                <c:pt idx="200">
                  <c:v>-14.1791</c:v>
                </c:pt>
                <c:pt idx="201">
                  <c:v>-13.9696</c:v>
                </c:pt>
                <c:pt idx="202">
                  <c:v>-13.7532</c:v>
                </c:pt>
                <c:pt idx="203">
                  <c:v>-13.5311</c:v>
                </c:pt>
                <c:pt idx="204">
                  <c:v>-13.305300000000001</c:v>
                </c:pt>
                <c:pt idx="205">
                  <c:v>-13.072900000000001</c:v>
                </c:pt>
                <c:pt idx="206">
                  <c:v>-12.832800000000001</c:v>
                </c:pt>
                <c:pt idx="207">
                  <c:v>-12.5844</c:v>
                </c:pt>
                <c:pt idx="208">
                  <c:v>-12.327400000000001</c:v>
                </c:pt>
                <c:pt idx="209">
                  <c:v>-12.0602</c:v>
                </c:pt>
                <c:pt idx="210">
                  <c:v>-11.780799999999999</c:v>
                </c:pt>
                <c:pt idx="211">
                  <c:v>-11.493</c:v>
                </c:pt>
                <c:pt idx="212">
                  <c:v>-11.194100000000001</c:v>
                </c:pt>
                <c:pt idx="213">
                  <c:v>-10.882099999999999</c:v>
                </c:pt>
                <c:pt idx="214">
                  <c:v>-10.555899999999999</c:v>
                </c:pt>
                <c:pt idx="215">
                  <c:v>-10.2181</c:v>
                </c:pt>
                <c:pt idx="216">
                  <c:v>-9.8580299999999994</c:v>
                </c:pt>
                <c:pt idx="217">
                  <c:v>-9.4869000000000003</c:v>
                </c:pt>
                <c:pt idx="218">
                  <c:v>-9.0951699999999995</c:v>
                </c:pt>
                <c:pt idx="219">
                  <c:v>-8.6848600000000005</c:v>
                </c:pt>
                <c:pt idx="220">
                  <c:v>-8.2536799999999992</c:v>
                </c:pt>
                <c:pt idx="221">
                  <c:v>-7.8051000000000004</c:v>
                </c:pt>
                <c:pt idx="222">
                  <c:v>-7.3338400000000004</c:v>
                </c:pt>
                <c:pt idx="223">
                  <c:v>-6.83819</c:v>
                </c:pt>
                <c:pt idx="224">
                  <c:v>-6.3206800000000003</c:v>
                </c:pt>
                <c:pt idx="225">
                  <c:v>-5.78484</c:v>
                </c:pt>
                <c:pt idx="226">
                  <c:v>-5.2268999999999997</c:v>
                </c:pt>
                <c:pt idx="227">
                  <c:v>-4.6447700000000003</c:v>
                </c:pt>
                <c:pt idx="228">
                  <c:v>-4.0446200000000001</c:v>
                </c:pt>
                <c:pt idx="229">
                  <c:v>-3.4268700000000001</c:v>
                </c:pt>
                <c:pt idx="230">
                  <c:v>-2.7897500000000002</c:v>
                </c:pt>
                <c:pt idx="231">
                  <c:v>-2.1335199999999999</c:v>
                </c:pt>
                <c:pt idx="232">
                  <c:v>-1.4591799999999999</c:v>
                </c:pt>
                <c:pt idx="233">
                  <c:v>-0.77960499999999999</c:v>
                </c:pt>
                <c:pt idx="234">
                  <c:v>-9.5590900000000006E-2</c:v>
                </c:pt>
                <c:pt idx="235">
                  <c:v>0.59186499999999997</c:v>
                </c:pt>
                <c:pt idx="236">
                  <c:v>1.2793000000000001</c:v>
                </c:pt>
                <c:pt idx="237">
                  <c:v>1.9666999999999999</c:v>
                </c:pt>
                <c:pt idx="238">
                  <c:v>2.6540900000000001</c:v>
                </c:pt>
                <c:pt idx="239">
                  <c:v>3.33988</c:v>
                </c:pt>
                <c:pt idx="240">
                  <c:v>4.0202900000000001</c:v>
                </c:pt>
                <c:pt idx="241">
                  <c:v>4.6982200000000001</c:v>
                </c:pt>
                <c:pt idx="242">
                  <c:v>5.3713499999999996</c:v>
                </c:pt>
                <c:pt idx="243">
                  <c:v>6.0286600000000004</c:v>
                </c:pt>
                <c:pt idx="244">
                  <c:v>6.6681699999999999</c:v>
                </c:pt>
                <c:pt idx="245">
                  <c:v>7.2933000000000003</c:v>
                </c:pt>
                <c:pt idx="246">
                  <c:v>7.8964800000000004</c:v>
                </c:pt>
                <c:pt idx="247">
                  <c:v>8.4875900000000009</c:v>
                </c:pt>
                <c:pt idx="248">
                  <c:v>9.0572300000000006</c:v>
                </c:pt>
                <c:pt idx="249">
                  <c:v>9.6136199999999992</c:v>
                </c:pt>
                <c:pt idx="250">
                  <c:v>10.142799999999999</c:v>
                </c:pt>
                <c:pt idx="251">
                  <c:v>10.6494</c:v>
                </c:pt>
                <c:pt idx="252">
                  <c:v>11.1448</c:v>
                </c:pt>
                <c:pt idx="253">
                  <c:v>11.6136</c:v>
                </c:pt>
                <c:pt idx="254">
                  <c:v>12.0647</c:v>
                </c:pt>
                <c:pt idx="255">
                  <c:v>12.507300000000001</c:v>
                </c:pt>
                <c:pt idx="256">
                  <c:v>12.9282</c:v>
                </c:pt>
                <c:pt idx="257">
                  <c:v>13.3299</c:v>
                </c:pt>
                <c:pt idx="258">
                  <c:v>13.7209</c:v>
                </c:pt>
                <c:pt idx="259">
                  <c:v>14.101900000000001</c:v>
                </c:pt>
                <c:pt idx="260">
                  <c:v>14.4664</c:v>
                </c:pt>
                <c:pt idx="261">
                  <c:v>14.813700000000001</c:v>
                </c:pt>
                <c:pt idx="262">
                  <c:v>15.152100000000001</c:v>
                </c:pt>
                <c:pt idx="263">
                  <c:v>15.4819</c:v>
                </c:pt>
                <c:pt idx="264">
                  <c:v>15.798400000000001</c:v>
                </c:pt>
                <c:pt idx="265">
                  <c:v>16.063600000000001</c:v>
                </c:pt>
                <c:pt idx="266">
                  <c:v>16.2667</c:v>
                </c:pt>
                <c:pt idx="267">
                  <c:v>16.456600000000002</c:v>
                </c:pt>
                <c:pt idx="268">
                  <c:v>16.6387</c:v>
                </c:pt>
                <c:pt idx="269">
                  <c:v>16.814299999999999</c:v>
                </c:pt>
                <c:pt idx="270">
                  <c:v>16.9849</c:v>
                </c:pt>
                <c:pt idx="271">
                  <c:v>17.149999999999999</c:v>
                </c:pt>
                <c:pt idx="272">
                  <c:v>17.309100000000001</c:v>
                </c:pt>
                <c:pt idx="273">
                  <c:v>17.4558</c:v>
                </c:pt>
                <c:pt idx="274">
                  <c:v>17.593299999999999</c:v>
                </c:pt>
                <c:pt idx="275">
                  <c:v>17.726099999999999</c:v>
                </c:pt>
                <c:pt idx="276">
                  <c:v>17.854900000000001</c:v>
                </c:pt>
                <c:pt idx="277">
                  <c:v>17.979199999999999</c:v>
                </c:pt>
                <c:pt idx="278">
                  <c:v>18.100100000000001</c:v>
                </c:pt>
                <c:pt idx="279">
                  <c:v>18.218299999999999</c:v>
                </c:pt>
                <c:pt idx="280">
                  <c:v>18.333500000000001</c:v>
                </c:pt>
                <c:pt idx="281">
                  <c:v>18.445599999999999</c:v>
                </c:pt>
                <c:pt idx="282">
                  <c:v>18.555199999999999</c:v>
                </c:pt>
                <c:pt idx="283">
                  <c:v>18.662400000000002</c:v>
                </c:pt>
                <c:pt idx="284">
                  <c:v>18.766500000000001</c:v>
                </c:pt>
                <c:pt idx="285">
                  <c:v>18.867899999999999</c:v>
                </c:pt>
                <c:pt idx="286">
                  <c:v>18.966000000000001</c:v>
                </c:pt>
                <c:pt idx="287">
                  <c:v>19.052299999999999</c:v>
                </c:pt>
                <c:pt idx="288">
                  <c:v>19.124500000000001</c:v>
                </c:pt>
                <c:pt idx="289">
                  <c:v>19.191600000000001</c:v>
                </c:pt>
                <c:pt idx="290">
                  <c:v>19.256</c:v>
                </c:pt>
                <c:pt idx="291">
                  <c:v>19.318200000000001</c:v>
                </c:pt>
                <c:pt idx="292">
                  <c:v>19.378299999999999</c:v>
                </c:pt>
                <c:pt idx="293">
                  <c:v>19.435700000000001</c:v>
                </c:pt>
                <c:pt idx="294">
                  <c:v>19.4907</c:v>
                </c:pt>
                <c:pt idx="295">
                  <c:v>19.543199999999999</c:v>
                </c:pt>
                <c:pt idx="296">
                  <c:v>19.593800000000002</c:v>
                </c:pt>
                <c:pt idx="297">
                  <c:v>19.642499999999998</c:v>
                </c:pt>
                <c:pt idx="298">
                  <c:v>19.6846</c:v>
                </c:pt>
                <c:pt idx="299">
                  <c:v>19.700099999999999</c:v>
                </c:pt>
                <c:pt idx="300">
                  <c:v>19.428899999999999</c:v>
                </c:pt>
                <c:pt idx="301">
                  <c:v>19.155200000000001</c:v>
                </c:pt>
                <c:pt idx="302">
                  <c:v>18.878799999999998</c:v>
                </c:pt>
                <c:pt idx="303">
                  <c:v>18.597300000000001</c:v>
                </c:pt>
                <c:pt idx="304">
                  <c:v>18.311199999999999</c:v>
                </c:pt>
                <c:pt idx="305">
                  <c:v>18.020800000000001</c:v>
                </c:pt>
                <c:pt idx="306">
                  <c:v>17.726099999999999</c:v>
                </c:pt>
                <c:pt idx="307">
                  <c:v>17.427800000000001</c:v>
                </c:pt>
                <c:pt idx="308">
                  <c:v>17.125900000000001</c:v>
                </c:pt>
                <c:pt idx="309">
                  <c:v>16.820499999999999</c:v>
                </c:pt>
                <c:pt idx="310">
                  <c:v>16.5077</c:v>
                </c:pt>
                <c:pt idx="311">
                  <c:v>16.1891</c:v>
                </c:pt>
                <c:pt idx="312">
                  <c:v>15.8652</c:v>
                </c:pt>
                <c:pt idx="313">
                  <c:v>15.533899999999999</c:v>
                </c:pt>
                <c:pt idx="314">
                  <c:v>15.1966</c:v>
                </c:pt>
                <c:pt idx="315">
                  <c:v>14.8508</c:v>
                </c:pt>
                <c:pt idx="316">
                  <c:v>14.494</c:v>
                </c:pt>
                <c:pt idx="317">
                  <c:v>14.126099999999999</c:v>
                </c:pt>
                <c:pt idx="318">
                  <c:v>13.7479</c:v>
                </c:pt>
                <c:pt idx="319">
                  <c:v>13.361800000000001</c:v>
                </c:pt>
                <c:pt idx="320">
                  <c:v>12.9657</c:v>
                </c:pt>
                <c:pt idx="321">
                  <c:v>12.557600000000001</c:v>
                </c:pt>
                <c:pt idx="322">
                  <c:v>12.1357</c:v>
                </c:pt>
                <c:pt idx="323">
                  <c:v>11.703099999999999</c:v>
                </c:pt>
                <c:pt idx="324">
                  <c:v>11.256500000000001</c:v>
                </c:pt>
                <c:pt idx="325">
                  <c:v>10.792199999999999</c:v>
                </c:pt>
                <c:pt idx="326">
                  <c:v>10.311299999999999</c:v>
                </c:pt>
                <c:pt idx="327">
                  <c:v>9.8152600000000003</c:v>
                </c:pt>
                <c:pt idx="328">
                  <c:v>9.3118599999999994</c:v>
                </c:pt>
                <c:pt idx="329">
                  <c:v>8.7899700000000003</c:v>
                </c:pt>
                <c:pt idx="330">
                  <c:v>8.2470099999999995</c:v>
                </c:pt>
                <c:pt idx="331">
                  <c:v>7.6974799999999997</c:v>
                </c:pt>
                <c:pt idx="332">
                  <c:v>7.1334999999999997</c:v>
                </c:pt>
                <c:pt idx="333">
                  <c:v>6.5466699999999998</c:v>
                </c:pt>
                <c:pt idx="334">
                  <c:v>5.9535</c:v>
                </c:pt>
                <c:pt idx="335">
                  <c:v>5.3450199999999999</c:v>
                </c:pt>
                <c:pt idx="336">
                  <c:v>4.7188499999999998</c:v>
                </c:pt>
                <c:pt idx="337">
                  <c:v>4.0811900000000003</c:v>
                </c:pt>
                <c:pt idx="338">
                  <c:v>3.41757</c:v>
                </c:pt>
                <c:pt idx="339">
                  <c:v>2.7455799999999999</c:v>
                </c:pt>
                <c:pt idx="340">
                  <c:v>2.0545800000000001</c:v>
                </c:pt>
                <c:pt idx="341">
                  <c:v>1.35503</c:v>
                </c:pt>
                <c:pt idx="342">
                  <c:v>0.63449999999999995</c:v>
                </c:pt>
                <c:pt idx="343">
                  <c:v>-8.4165400000000001E-2</c:v>
                </c:pt>
                <c:pt idx="344">
                  <c:v>-0.79840599999999995</c:v>
                </c:pt>
                <c:pt idx="345">
                  <c:v>-1.5126500000000001</c:v>
                </c:pt>
                <c:pt idx="346">
                  <c:v>-2.2212299999999998</c:v>
                </c:pt>
                <c:pt idx="347">
                  <c:v>-2.9297</c:v>
                </c:pt>
                <c:pt idx="348">
                  <c:v>-3.6370399999999998</c:v>
                </c:pt>
                <c:pt idx="349">
                  <c:v>-4.3328300000000004</c:v>
                </c:pt>
                <c:pt idx="350">
                  <c:v>-5.0013500000000004</c:v>
                </c:pt>
                <c:pt idx="351">
                  <c:v>-5.6532</c:v>
                </c:pt>
                <c:pt idx="352">
                  <c:v>-6.2843200000000001</c:v>
                </c:pt>
                <c:pt idx="353">
                  <c:v>-6.8899800000000004</c:v>
                </c:pt>
                <c:pt idx="354">
                  <c:v>-7.4684900000000001</c:v>
                </c:pt>
                <c:pt idx="355">
                  <c:v>-8.03355</c:v>
                </c:pt>
                <c:pt idx="356">
                  <c:v>-8.5732999999999997</c:v>
                </c:pt>
                <c:pt idx="357">
                  <c:v>-9.0931099999999994</c:v>
                </c:pt>
                <c:pt idx="358">
                  <c:v>-9.5972200000000001</c:v>
                </c:pt>
                <c:pt idx="359">
                  <c:v>-10.074400000000001</c:v>
                </c:pt>
                <c:pt idx="360">
                  <c:v>-10.533300000000001</c:v>
                </c:pt>
                <c:pt idx="361">
                  <c:v>-10.9703</c:v>
                </c:pt>
                <c:pt idx="362">
                  <c:v>-11.3872</c:v>
                </c:pt>
                <c:pt idx="363">
                  <c:v>-11.7904</c:v>
                </c:pt>
                <c:pt idx="364">
                  <c:v>-12.171200000000001</c:v>
                </c:pt>
                <c:pt idx="365">
                  <c:v>-12.536199999999999</c:v>
                </c:pt>
                <c:pt idx="366">
                  <c:v>-12.885</c:v>
                </c:pt>
                <c:pt idx="367">
                  <c:v>-13.2151</c:v>
                </c:pt>
                <c:pt idx="368">
                  <c:v>-13.511799999999999</c:v>
                </c:pt>
                <c:pt idx="369">
                  <c:v>-13.785299999999999</c:v>
                </c:pt>
                <c:pt idx="370">
                  <c:v>-14.042899999999999</c:v>
                </c:pt>
                <c:pt idx="371">
                  <c:v>-14.2902</c:v>
                </c:pt>
                <c:pt idx="372">
                  <c:v>-14.523099999999999</c:v>
                </c:pt>
                <c:pt idx="373">
                  <c:v>-14.74</c:v>
                </c:pt>
                <c:pt idx="374">
                  <c:v>-14.9453</c:v>
                </c:pt>
                <c:pt idx="375">
                  <c:v>-15.1317</c:v>
                </c:pt>
                <c:pt idx="376">
                  <c:v>-15.3146</c:v>
                </c:pt>
                <c:pt idx="377">
                  <c:v>-15.489100000000001</c:v>
                </c:pt>
                <c:pt idx="378">
                  <c:v>-15.6524</c:v>
                </c:pt>
                <c:pt idx="379">
                  <c:v>-15.8102</c:v>
                </c:pt>
                <c:pt idx="380">
                  <c:v>-15.965999999999999</c:v>
                </c:pt>
                <c:pt idx="381">
                  <c:v>-16.119700000000002</c:v>
                </c:pt>
                <c:pt idx="382">
                  <c:v>-16.269400000000001</c:v>
                </c:pt>
                <c:pt idx="383">
                  <c:v>-16.413</c:v>
                </c:pt>
                <c:pt idx="384">
                  <c:v>-16.548500000000001</c:v>
                </c:pt>
                <c:pt idx="385">
                  <c:v>-16.6782</c:v>
                </c:pt>
                <c:pt idx="386">
                  <c:v>-16.806100000000001</c:v>
                </c:pt>
                <c:pt idx="387">
                  <c:v>-16.926400000000001</c:v>
                </c:pt>
                <c:pt idx="388">
                  <c:v>-17.045000000000002</c:v>
                </c:pt>
                <c:pt idx="389">
                  <c:v>-17.161799999999999</c:v>
                </c:pt>
                <c:pt idx="390">
                  <c:v>-17.275600000000001</c:v>
                </c:pt>
                <c:pt idx="391">
                  <c:v>-17.386900000000001</c:v>
                </c:pt>
                <c:pt idx="392">
                  <c:v>-17.496500000000001</c:v>
                </c:pt>
                <c:pt idx="393">
                  <c:v>-17.604299999999999</c:v>
                </c:pt>
                <c:pt idx="394">
                  <c:v>-17.709800000000001</c:v>
                </c:pt>
                <c:pt idx="395">
                  <c:v>-17.813800000000001</c:v>
                </c:pt>
                <c:pt idx="396">
                  <c:v>-17.9161</c:v>
                </c:pt>
                <c:pt idx="397">
                  <c:v>-18.0091</c:v>
                </c:pt>
                <c:pt idx="398">
                  <c:v>-18.070599999999999</c:v>
                </c:pt>
                <c:pt idx="399">
                  <c:v>-18.130400000000002</c:v>
                </c:pt>
                <c:pt idx="400">
                  <c:v>-17.886600000000001</c:v>
                </c:pt>
                <c:pt idx="401">
                  <c:v>-17.639500000000002</c:v>
                </c:pt>
                <c:pt idx="402">
                  <c:v>-17.390799999999999</c:v>
                </c:pt>
                <c:pt idx="403">
                  <c:v>-17.140499999999999</c:v>
                </c:pt>
                <c:pt idx="404">
                  <c:v>-16.886099999999999</c:v>
                </c:pt>
                <c:pt idx="405">
                  <c:v>-16.627500000000001</c:v>
                </c:pt>
                <c:pt idx="406">
                  <c:v>-16.364999999999998</c:v>
                </c:pt>
                <c:pt idx="407">
                  <c:v>-16.099499999999999</c:v>
                </c:pt>
                <c:pt idx="408">
                  <c:v>-15.8285</c:v>
                </c:pt>
                <c:pt idx="409">
                  <c:v>-15.554399999999999</c:v>
                </c:pt>
                <c:pt idx="410">
                  <c:v>-15.275700000000001</c:v>
                </c:pt>
                <c:pt idx="411">
                  <c:v>-14.9939</c:v>
                </c:pt>
                <c:pt idx="412">
                  <c:v>-14.706799999999999</c:v>
                </c:pt>
                <c:pt idx="413">
                  <c:v>-14.413600000000001</c:v>
                </c:pt>
                <c:pt idx="414">
                  <c:v>-14.111499999999999</c:v>
                </c:pt>
                <c:pt idx="415">
                  <c:v>-13.8056</c:v>
                </c:pt>
                <c:pt idx="416">
                  <c:v>-13.4975</c:v>
                </c:pt>
                <c:pt idx="417">
                  <c:v>-13.179500000000001</c:v>
                </c:pt>
                <c:pt idx="418">
                  <c:v>-12.851800000000001</c:v>
                </c:pt>
                <c:pt idx="419">
                  <c:v>-12.515499999999999</c:v>
                </c:pt>
                <c:pt idx="420">
                  <c:v>-12.171900000000001</c:v>
                </c:pt>
                <c:pt idx="421">
                  <c:v>-11.8147</c:v>
                </c:pt>
                <c:pt idx="422">
                  <c:v>-11.443099999999999</c:v>
                </c:pt>
                <c:pt idx="423">
                  <c:v>-11.058299999999999</c:v>
                </c:pt>
                <c:pt idx="424">
                  <c:v>-10.652699999999999</c:v>
                </c:pt>
                <c:pt idx="425">
                  <c:v>-10.226599999999999</c:v>
                </c:pt>
                <c:pt idx="426">
                  <c:v>-9.7782699999999991</c:v>
                </c:pt>
                <c:pt idx="427">
                  <c:v>-9.2991899999999994</c:v>
                </c:pt>
                <c:pt idx="428">
                  <c:v>-8.7969500000000007</c:v>
                </c:pt>
                <c:pt idx="429">
                  <c:v>-8.2637099999999997</c:v>
                </c:pt>
                <c:pt idx="430">
                  <c:v>-7.7046700000000001</c:v>
                </c:pt>
                <c:pt idx="431">
                  <c:v>-7.1165200000000004</c:v>
                </c:pt>
                <c:pt idx="432">
                  <c:v>-6.4998399999999998</c:v>
                </c:pt>
                <c:pt idx="433">
                  <c:v>-5.8622500000000004</c:v>
                </c:pt>
                <c:pt idx="434">
                  <c:v>-5.2039200000000001</c:v>
                </c:pt>
                <c:pt idx="435">
                  <c:v>-4.5214999999999996</c:v>
                </c:pt>
                <c:pt idx="436">
                  <c:v>-3.8039900000000002</c:v>
                </c:pt>
                <c:pt idx="437">
                  <c:v>-3.0599699999999999</c:v>
                </c:pt>
                <c:pt idx="438">
                  <c:v>-2.29941</c:v>
                </c:pt>
                <c:pt idx="439">
                  <c:v>-1.5163800000000001</c:v>
                </c:pt>
                <c:pt idx="440">
                  <c:v>-0.73256100000000002</c:v>
                </c:pt>
                <c:pt idx="441">
                  <c:v>5.6613499999999997E-2</c:v>
                </c:pt>
                <c:pt idx="442">
                  <c:v>0.84972199999999998</c:v>
                </c:pt>
                <c:pt idx="443">
                  <c:v>1.6195900000000001</c:v>
                </c:pt>
                <c:pt idx="444">
                  <c:v>2.3930199999999999</c:v>
                </c:pt>
                <c:pt idx="445">
                  <c:v>3.1465800000000002</c:v>
                </c:pt>
                <c:pt idx="446">
                  <c:v>3.8982999999999999</c:v>
                </c:pt>
                <c:pt idx="447">
                  <c:v>4.6385500000000004</c:v>
                </c:pt>
                <c:pt idx="448">
                  <c:v>5.3667699999999998</c:v>
                </c:pt>
                <c:pt idx="449">
                  <c:v>6.0981300000000003</c:v>
                </c:pt>
                <c:pt idx="450">
                  <c:v>6.8012699999999997</c:v>
                </c:pt>
                <c:pt idx="451">
                  <c:v>7.4921800000000003</c:v>
                </c:pt>
                <c:pt idx="452">
                  <c:v>8.1673100000000005</c:v>
                </c:pt>
                <c:pt idx="453">
                  <c:v>8.8138000000000005</c:v>
                </c:pt>
                <c:pt idx="454">
                  <c:v>9.4420199999999994</c:v>
                </c:pt>
                <c:pt idx="455">
                  <c:v>10.0501</c:v>
                </c:pt>
                <c:pt idx="456">
                  <c:v>10.6272</c:v>
                </c:pt>
                <c:pt idx="457">
                  <c:v>11.187200000000001</c:v>
                </c:pt>
                <c:pt idx="458">
                  <c:v>11.7293</c:v>
                </c:pt>
                <c:pt idx="459">
                  <c:v>12.2484</c:v>
                </c:pt>
                <c:pt idx="460">
                  <c:v>12.7485</c:v>
                </c:pt>
                <c:pt idx="461">
                  <c:v>13.232799999999999</c:v>
                </c:pt>
                <c:pt idx="462">
                  <c:v>13.701499999999999</c:v>
                </c:pt>
                <c:pt idx="463">
                  <c:v>14.152900000000001</c:v>
                </c:pt>
                <c:pt idx="464">
                  <c:v>14.594900000000001</c:v>
                </c:pt>
                <c:pt idx="465">
                  <c:v>15.021000000000001</c:v>
                </c:pt>
                <c:pt idx="466">
                  <c:v>15.432700000000001</c:v>
                </c:pt>
                <c:pt idx="467">
                  <c:v>15.832000000000001</c:v>
                </c:pt>
                <c:pt idx="468">
                  <c:v>16.222100000000001</c:v>
                </c:pt>
                <c:pt idx="469">
                  <c:v>16.594000000000001</c:v>
                </c:pt>
                <c:pt idx="470">
                  <c:v>16.9451</c:v>
                </c:pt>
                <c:pt idx="471">
                  <c:v>17.285900000000002</c:v>
                </c:pt>
                <c:pt idx="472">
                  <c:v>17.622499999999999</c:v>
                </c:pt>
                <c:pt idx="473">
                  <c:v>17.955100000000002</c:v>
                </c:pt>
                <c:pt idx="474">
                  <c:v>18.281600000000001</c:v>
                </c:pt>
                <c:pt idx="475">
                  <c:v>18.601600000000001</c:v>
                </c:pt>
                <c:pt idx="476">
                  <c:v>18.914000000000001</c:v>
                </c:pt>
                <c:pt idx="477">
                  <c:v>19.2195</c:v>
                </c:pt>
                <c:pt idx="478">
                  <c:v>19.520199999999999</c:v>
                </c:pt>
                <c:pt idx="479">
                  <c:v>19.7088</c:v>
                </c:pt>
                <c:pt idx="480">
                  <c:v>19.715499999999999</c:v>
                </c:pt>
                <c:pt idx="481">
                  <c:v>19.700600000000001</c:v>
                </c:pt>
                <c:pt idx="482">
                  <c:v>19.680199999999999</c:v>
                </c:pt>
                <c:pt idx="483">
                  <c:v>19.6523</c:v>
                </c:pt>
                <c:pt idx="484">
                  <c:v>19.618500000000001</c:v>
                </c:pt>
                <c:pt idx="485">
                  <c:v>19.579599999999999</c:v>
                </c:pt>
                <c:pt idx="486">
                  <c:v>19.5365</c:v>
                </c:pt>
                <c:pt idx="487">
                  <c:v>19.487200000000001</c:v>
                </c:pt>
                <c:pt idx="488">
                  <c:v>19.428999999999998</c:v>
                </c:pt>
                <c:pt idx="489">
                  <c:v>19.365400000000001</c:v>
                </c:pt>
                <c:pt idx="490">
                  <c:v>19.2974</c:v>
                </c:pt>
                <c:pt idx="491">
                  <c:v>19.226800000000001</c:v>
                </c:pt>
                <c:pt idx="492">
                  <c:v>19.158200000000001</c:v>
                </c:pt>
                <c:pt idx="493">
                  <c:v>19.088999999999999</c:v>
                </c:pt>
                <c:pt idx="494">
                  <c:v>19.020600000000002</c:v>
                </c:pt>
                <c:pt idx="495">
                  <c:v>18.950900000000001</c:v>
                </c:pt>
                <c:pt idx="496">
                  <c:v>18.8828</c:v>
                </c:pt>
                <c:pt idx="497">
                  <c:v>18.8126</c:v>
                </c:pt>
                <c:pt idx="498">
                  <c:v>18.742799999999999</c:v>
                </c:pt>
                <c:pt idx="499">
                  <c:v>18.672899999999998</c:v>
                </c:pt>
                <c:pt idx="500">
                  <c:v>18.308399999999999</c:v>
                </c:pt>
                <c:pt idx="501">
                  <c:v>17.940300000000001</c:v>
                </c:pt>
                <c:pt idx="502">
                  <c:v>17.5684</c:v>
                </c:pt>
                <c:pt idx="503">
                  <c:v>17.194600000000001</c:v>
                </c:pt>
                <c:pt idx="504">
                  <c:v>16.8169</c:v>
                </c:pt>
                <c:pt idx="505">
                  <c:v>16.430599999999998</c:v>
                </c:pt>
                <c:pt idx="506">
                  <c:v>16.0379</c:v>
                </c:pt>
                <c:pt idx="507">
                  <c:v>15.6404</c:v>
                </c:pt>
                <c:pt idx="508">
                  <c:v>15.234500000000001</c:v>
                </c:pt>
                <c:pt idx="509">
                  <c:v>14.8223</c:v>
                </c:pt>
                <c:pt idx="510">
                  <c:v>14.400700000000001</c:v>
                </c:pt>
                <c:pt idx="511">
                  <c:v>13.9665</c:v>
                </c:pt>
                <c:pt idx="512">
                  <c:v>13.520200000000001</c:v>
                </c:pt>
                <c:pt idx="513">
                  <c:v>13.063700000000001</c:v>
                </c:pt>
                <c:pt idx="514">
                  <c:v>12.591699999999999</c:v>
                </c:pt>
                <c:pt idx="515">
                  <c:v>12.1104</c:v>
                </c:pt>
                <c:pt idx="516">
                  <c:v>11.616199999999999</c:v>
                </c:pt>
                <c:pt idx="517">
                  <c:v>11.112399999999999</c:v>
                </c:pt>
                <c:pt idx="518">
                  <c:v>10.599500000000001</c:v>
                </c:pt>
                <c:pt idx="519">
                  <c:v>10.0787</c:v>
                </c:pt>
                <c:pt idx="520">
                  <c:v>9.5517099999999999</c:v>
                </c:pt>
                <c:pt idx="521">
                  <c:v>9.0103500000000007</c:v>
                </c:pt>
                <c:pt idx="522">
                  <c:v>8.4621300000000002</c:v>
                </c:pt>
                <c:pt idx="523">
                  <c:v>7.9089799999999997</c:v>
                </c:pt>
                <c:pt idx="524">
                  <c:v>7.3494400000000004</c:v>
                </c:pt>
                <c:pt idx="525">
                  <c:v>6.7869299999999999</c:v>
                </c:pt>
                <c:pt idx="526">
                  <c:v>6.2231500000000004</c:v>
                </c:pt>
                <c:pt idx="527">
                  <c:v>5.6532200000000001</c:v>
                </c:pt>
                <c:pt idx="528">
                  <c:v>5.0922299999999998</c:v>
                </c:pt>
                <c:pt idx="529">
                  <c:v>4.5342799999999999</c:v>
                </c:pt>
                <c:pt idx="530">
                  <c:v>3.9694099999999999</c:v>
                </c:pt>
                <c:pt idx="531">
                  <c:v>3.4076200000000001</c:v>
                </c:pt>
                <c:pt idx="532">
                  <c:v>2.86544</c:v>
                </c:pt>
                <c:pt idx="533">
                  <c:v>2.3391099999999998</c:v>
                </c:pt>
                <c:pt idx="534">
                  <c:v>1.8195600000000001</c:v>
                </c:pt>
                <c:pt idx="535">
                  <c:v>1.29461</c:v>
                </c:pt>
                <c:pt idx="536">
                  <c:v>0.77266199999999996</c:v>
                </c:pt>
                <c:pt idx="537">
                  <c:v>0.25655099999999997</c:v>
                </c:pt>
                <c:pt idx="538">
                  <c:v>-0.27291199999999999</c:v>
                </c:pt>
                <c:pt idx="539">
                  <c:v>-0.81698099999999996</c:v>
                </c:pt>
                <c:pt idx="540">
                  <c:v>-1.35792</c:v>
                </c:pt>
                <c:pt idx="541">
                  <c:v>-1.9275500000000001</c:v>
                </c:pt>
                <c:pt idx="542">
                  <c:v>-2.5068100000000002</c:v>
                </c:pt>
                <c:pt idx="543">
                  <c:v>-3.0779000000000001</c:v>
                </c:pt>
                <c:pt idx="544">
                  <c:v>-3.66737</c:v>
                </c:pt>
                <c:pt idx="545">
                  <c:v>-4.2600300000000004</c:v>
                </c:pt>
                <c:pt idx="546">
                  <c:v>-4.8625999999999996</c:v>
                </c:pt>
                <c:pt idx="547">
                  <c:v>-5.4407899999999998</c:v>
                </c:pt>
                <c:pt idx="548">
                  <c:v>-6.04739</c:v>
                </c:pt>
                <c:pt idx="549">
                  <c:v>-6.6621499999999996</c:v>
                </c:pt>
                <c:pt idx="550">
                  <c:v>-7.2635899999999998</c:v>
                </c:pt>
                <c:pt idx="551">
                  <c:v>-7.8720400000000001</c:v>
                </c:pt>
                <c:pt idx="552">
                  <c:v>-8.47438</c:v>
                </c:pt>
                <c:pt idx="553">
                  <c:v>-9.0726899999999997</c:v>
                </c:pt>
                <c:pt idx="554">
                  <c:v>-9.6722300000000008</c:v>
                </c:pt>
                <c:pt idx="555">
                  <c:v>-10.243399999999999</c:v>
                </c:pt>
                <c:pt idx="556">
                  <c:v>-10.7904</c:v>
                </c:pt>
                <c:pt idx="557">
                  <c:v>-11.323</c:v>
                </c:pt>
                <c:pt idx="558">
                  <c:v>-11.830399999999999</c:v>
                </c:pt>
                <c:pt idx="559">
                  <c:v>-12.3111</c:v>
                </c:pt>
                <c:pt idx="560">
                  <c:v>-12.770899999999999</c:v>
                </c:pt>
                <c:pt idx="561">
                  <c:v>-13.2044</c:v>
                </c:pt>
                <c:pt idx="562">
                  <c:v>-13.613200000000001</c:v>
                </c:pt>
                <c:pt idx="563">
                  <c:v>-14.001200000000001</c:v>
                </c:pt>
                <c:pt idx="564">
                  <c:v>-14.3667</c:v>
                </c:pt>
                <c:pt idx="565">
                  <c:v>-14.708</c:v>
                </c:pt>
                <c:pt idx="566">
                  <c:v>-15.0327</c:v>
                </c:pt>
                <c:pt idx="567">
                  <c:v>-15.3405</c:v>
                </c:pt>
                <c:pt idx="568">
                  <c:v>-15.6333</c:v>
                </c:pt>
                <c:pt idx="569">
                  <c:v>-15.9171</c:v>
                </c:pt>
                <c:pt idx="570">
                  <c:v>-16.164999999999999</c:v>
                </c:pt>
                <c:pt idx="571">
                  <c:v>-16.373799999999999</c:v>
                </c:pt>
                <c:pt idx="572">
                  <c:v>-16.578499999999998</c:v>
                </c:pt>
                <c:pt idx="573">
                  <c:v>-16.774899999999999</c:v>
                </c:pt>
                <c:pt idx="574">
                  <c:v>-16.9617</c:v>
                </c:pt>
                <c:pt idx="575">
                  <c:v>-17.140699999999999</c:v>
                </c:pt>
                <c:pt idx="576">
                  <c:v>-17.316700000000001</c:v>
                </c:pt>
                <c:pt idx="577">
                  <c:v>-17.484999999999999</c:v>
                </c:pt>
                <c:pt idx="578">
                  <c:v>-17.637599999999999</c:v>
                </c:pt>
                <c:pt idx="579">
                  <c:v>-17.783899999999999</c:v>
                </c:pt>
                <c:pt idx="580">
                  <c:v>-17.926500000000001</c:v>
                </c:pt>
                <c:pt idx="581">
                  <c:v>-18.066099999999999</c:v>
                </c:pt>
                <c:pt idx="582">
                  <c:v>-18.1996</c:v>
                </c:pt>
                <c:pt idx="583">
                  <c:v>-18.2987</c:v>
                </c:pt>
                <c:pt idx="584">
                  <c:v>-18.370200000000001</c:v>
                </c:pt>
                <c:pt idx="585">
                  <c:v>-18.427600000000002</c:v>
                </c:pt>
                <c:pt idx="586">
                  <c:v>-18.479299999999999</c:v>
                </c:pt>
                <c:pt idx="587">
                  <c:v>-18.527000000000001</c:v>
                </c:pt>
                <c:pt idx="588">
                  <c:v>-18.571000000000002</c:v>
                </c:pt>
                <c:pt idx="589">
                  <c:v>-18.611799999999999</c:v>
                </c:pt>
                <c:pt idx="590">
                  <c:v>-18.649699999999999</c:v>
                </c:pt>
                <c:pt idx="591">
                  <c:v>-18.6845</c:v>
                </c:pt>
                <c:pt idx="592">
                  <c:v>-18.717199999999998</c:v>
                </c:pt>
                <c:pt idx="593">
                  <c:v>-18.748000000000001</c:v>
                </c:pt>
                <c:pt idx="594">
                  <c:v>-18.776900000000001</c:v>
                </c:pt>
                <c:pt idx="595">
                  <c:v>-18.802900000000001</c:v>
                </c:pt>
                <c:pt idx="596">
                  <c:v>-18.826899999999998</c:v>
                </c:pt>
                <c:pt idx="597">
                  <c:v>-18.847899999999999</c:v>
                </c:pt>
                <c:pt idx="598">
                  <c:v>-18.865300000000001</c:v>
                </c:pt>
                <c:pt idx="599">
                  <c:v>-18.879899999999999</c:v>
                </c:pt>
                <c:pt idx="600">
                  <c:v>-18.565300000000001</c:v>
                </c:pt>
                <c:pt idx="601">
                  <c:v>-18.248000000000001</c:v>
                </c:pt>
                <c:pt idx="602">
                  <c:v>-17.927</c:v>
                </c:pt>
                <c:pt idx="603">
                  <c:v>-17.6007</c:v>
                </c:pt>
                <c:pt idx="604">
                  <c:v>-17.272500000000001</c:v>
                </c:pt>
                <c:pt idx="605">
                  <c:v>-16.940899999999999</c:v>
                </c:pt>
                <c:pt idx="606">
                  <c:v>-16.604399999999998</c:v>
                </c:pt>
                <c:pt idx="607">
                  <c:v>-16.263999999999999</c:v>
                </c:pt>
                <c:pt idx="608">
                  <c:v>-15.92</c:v>
                </c:pt>
                <c:pt idx="609">
                  <c:v>-15.571400000000001</c:v>
                </c:pt>
                <c:pt idx="610">
                  <c:v>-15.216900000000001</c:v>
                </c:pt>
                <c:pt idx="611">
                  <c:v>-14.857799999999999</c:v>
                </c:pt>
                <c:pt idx="612">
                  <c:v>-14.4939</c:v>
                </c:pt>
                <c:pt idx="613">
                  <c:v>-14.1248</c:v>
                </c:pt>
                <c:pt idx="614">
                  <c:v>-13.7506</c:v>
                </c:pt>
                <c:pt idx="615">
                  <c:v>-13.3714</c:v>
                </c:pt>
                <c:pt idx="616">
                  <c:v>-12.987500000000001</c:v>
                </c:pt>
                <c:pt idx="617">
                  <c:v>-12.5984</c:v>
                </c:pt>
                <c:pt idx="618">
                  <c:v>-12.2058</c:v>
                </c:pt>
                <c:pt idx="619">
                  <c:v>-11.806800000000001</c:v>
                </c:pt>
                <c:pt idx="620">
                  <c:v>-11.400499999999999</c:v>
                </c:pt>
                <c:pt idx="621">
                  <c:v>-10.989599999999999</c:v>
                </c:pt>
                <c:pt idx="622">
                  <c:v>-10.5725</c:v>
                </c:pt>
                <c:pt idx="623">
                  <c:v>-10.169499999999999</c:v>
                </c:pt>
                <c:pt idx="624">
                  <c:v>-9.8095300000000005</c:v>
                </c:pt>
                <c:pt idx="625">
                  <c:v>-9.4655500000000004</c:v>
                </c:pt>
                <c:pt idx="626">
                  <c:v>-9.1230700000000002</c:v>
                </c:pt>
                <c:pt idx="627">
                  <c:v>-8.7752999999999997</c:v>
                </c:pt>
                <c:pt idx="628">
                  <c:v>-8.4118600000000008</c:v>
                </c:pt>
                <c:pt idx="629">
                  <c:v>-8.0256900000000009</c:v>
                </c:pt>
                <c:pt idx="630">
                  <c:v>-7.6171199999999999</c:v>
                </c:pt>
                <c:pt idx="631">
                  <c:v>-7.1665200000000002</c:v>
                </c:pt>
                <c:pt idx="632">
                  <c:v>-6.6801899999999996</c:v>
                </c:pt>
                <c:pt idx="633">
                  <c:v>-6.1710900000000004</c:v>
                </c:pt>
                <c:pt idx="634">
                  <c:v>-5.6232300000000004</c:v>
                </c:pt>
                <c:pt idx="635">
                  <c:v>-5.0800200000000002</c:v>
                </c:pt>
                <c:pt idx="636">
                  <c:v>-4.5106599999999997</c:v>
                </c:pt>
                <c:pt idx="637">
                  <c:v>-3.9157600000000001</c:v>
                </c:pt>
                <c:pt idx="638">
                  <c:v>-3.2910599999999999</c:v>
                </c:pt>
                <c:pt idx="639">
                  <c:v>-2.65327</c:v>
                </c:pt>
                <c:pt idx="640">
                  <c:v>-2.0082</c:v>
                </c:pt>
                <c:pt idx="641">
                  <c:v>-1.35622</c:v>
                </c:pt>
                <c:pt idx="642">
                  <c:v>-0.73206000000000004</c:v>
                </c:pt>
                <c:pt idx="643">
                  <c:v>-9.6580600000000003E-2</c:v>
                </c:pt>
                <c:pt idx="644">
                  <c:v>0.51832</c:v>
                </c:pt>
                <c:pt idx="645">
                  <c:v>1.1237999999999999</c:v>
                </c:pt>
                <c:pt idx="646">
                  <c:v>1.7353000000000001</c:v>
                </c:pt>
                <c:pt idx="647">
                  <c:v>2.3271299999999999</c:v>
                </c:pt>
                <c:pt idx="648">
                  <c:v>2.9177900000000001</c:v>
                </c:pt>
                <c:pt idx="649">
                  <c:v>3.5220799999999999</c:v>
                </c:pt>
                <c:pt idx="650">
                  <c:v>4.1020500000000002</c:v>
                </c:pt>
                <c:pt idx="651">
                  <c:v>4.6673499999999999</c:v>
                </c:pt>
                <c:pt idx="652">
                  <c:v>5.2351099999999997</c:v>
                </c:pt>
                <c:pt idx="653">
                  <c:v>5.7816200000000002</c:v>
                </c:pt>
                <c:pt idx="654">
                  <c:v>6.2899200000000004</c:v>
                </c:pt>
                <c:pt idx="655">
                  <c:v>6.7970600000000001</c:v>
                </c:pt>
                <c:pt idx="656">
                  <c:v>7.3153899999999998</c:v>
                </c:pt>
                <c:pt idx="657">
                  <c:v>7.8358999999999996</c:v>
                </c:pt>
                <c:pt idx="658">
                  <c:v>8.3652899999999999</c:v>
                </c:pt>
                <c:pt idx="659">
                  <c:v>8.9201499999999996</c:v>
                </c:pt>
                <c:pt idx="660">
                  <c:v>9.46983</c:v>
                </c:pt>
                <c:pt idx="661">
                  <c:v>10.010999999999999</c:v>
                </c:pt>
                <c:pt idx="662">
                  <c:v>10.5448</c:v>
                </c:pt>
                <c:pt idx="663">
                  <c:v>11.069100000000001</c:v>
                </c:pt>
                <c:pt idx="664">
                  <c:v>11.5822</c:v>
                </c:pt>
                <c:pt idx="665">
                  <c:v>12.085100000000001</c:v>
                </c:pt>
                <c:pt idx="666">
                  <c:v>12.583299999999999</c:v>
                </c:pt>
                <c:pt idx="667">
                  <c:v>13.073499999999999</c:v>
                </c:pt>
                <c:pt idx="668">
                  <c:v>13.553699999999999</c:v>
                </c:pt>
                <c:pt idx="669">
                  <c:v>13.9885</c:v>
                </c:pt>
                <c:pt idx="670">
                  <c:v>14.3759</c:v>
                </c:pt>
                <c:pt idx="671">
                  <c:v>14.7552</c:v>
                </c:pt>
                <c:pt idx="672">
                  <c:v>15.1288</c:v>
                </c:pt>
                <c:pt idx="673">
                  <c:v>15.4892</c:v>
                </c:pt>
                <c:pt idx="674">
                  <c:v>15.8383</c:v>
                </c:pt>
                <c:pt idx="675">
                  <c:v>16.166799999999999</c:v>
                </c:pt>
                <c:pt idx="676">
                  <c:v>16.478200000000001</c:v>
                </c:pt>
                <c:pt idx="677">
                  <c:v>16.775700000000001</c:v>
                </c:pt>
                <c:pt idx="678">
                  <c:v>17.064499999999999</c:v>
                </c:pt>
                <c:pt idx="679">
                  <c:v>17.343499999999999</c:v>
                </c:pt>
                <c:pt idx="680">
                  <c:v>17.613900000000001</c:v>
                </c:pt>
                <c:pt idx="681">
                  <c:v>17.877400000000002</c:v>
                </c:pt>
                <c:pt idx="682">
                  <c:v>18.131399999999999</c:v>
                </c:pt>
                <c:pt idx="683">
                  <c:v>18.380500000000001</c:v>
                </c:pt>
                <c:pt idx="684">
                  <c:v>18.586600000000001</c:v>
                </c:pt>
                <c:pt idx="685">
                  <c:v>18.543399999999998</c:v>
                </c:pt>
                <c:pt idx="686">
                  <c:v>18.4574</c:v>
                </c:pt>
                <c:pt idx="687">
                  <c:v>18.362200000000001</c:v>
                </c:pt>
                <c:pt idx="688">
                  <c:v>18.264299999999999</c:v>
                </c:pt>
                <c:pt idx="689">
                  <c:v>18.1615</c:v>
                </c:pt>
                <c:pt idx="690">
                  <c:v>18.054099999999998</c:v>
                </c:pt>
                <c:pt idx="691">
                  <c:v>17.943100000000001</c:v>
                </c:pt>
                <c:pt idx="692">
                  <c:v>17.830200000000001</c:v>
                </c:pt>
                <c:pt idx="693">
                  <c:v>17.7164</c:v>
                </c:pt>
                <c:pt idx="694">
                  <c:v>17.600999999999999</c:v>
                </c:pt>
                <c:pt idx="695">
                  <c:v>17.491</c:v>
                </c:pt>
                <c:pt idx="696">
                  <c:v>17.389399999999998</c:v>
                </c:pt>
                <c:pt idx="697">
                  <c:v>17.292999999999999</c:v>
                </c:pt>
                <c:pt idx="698">
                  <c:v>17.200500000000002</c:v>
                </c:pt>
                <c:pt idx="699">
                  <c:v>17.1142</c:v>
                </c:pt>
                <c:pt idx="700">
                  <c:v>16.6539</c:v>
                </c:pt>
                <c:pt idx="701">
                  <c:v>16.1845</c:v>
                </c:pt>
                <c:pt idx="702">
                  <c:v>15.702400000000001</c:v>
                </c:pt>
                <c:pt idx="703">
                  <c:v>15.2056</c:v>
                </c:pt>
                <c:pt idx="704">
                  <c:v>14.6928</c:v>
                </c:pt>
                <c:pt idx="705">
                  <c:v>14.164099999999999</c:v>
                </c:pt>
                <c:pt idx="706">
                  <c:v>13.623799999999999</c:v>
                </c:pt>
                <c:pt idx="707">
                  <c:v>13.076700000000001</c:v>
                </c:pt>
                <c:pt idx="708">
                  <c:v>12.521100000000001</c:v>
                </c:pt>
                <c:pt idx="709">
                  <c:v>11.9573</c:v>
                </c:pt>
                <c:pt idx="710">
                  <c:v>11.3878</c:v>
                </c:pt>
                <c:pt idx="711">
                  <c:v>10.809699999999999</c:v>
                </c:pt>
                <c:pt idx="712">
                  <c:v>10.223800000000001</c:v>
                </c:pt>
                <c:pt idx="713">
                  <c:v>9.6337600000000005</c:v>
                </c:pt>
                <c:pt idx="714">
                  <c:v>9.0382999999999996</c:v>
                </c:pt>
                <c:pt idx="715">
                  <c:v>8.4359800000000007</c:v>
                </c:pt>
                <c:pt idx="716">
                  <c:v>7.83127</c:v>
                </c:pt>
                <c:pt idx="717">
                  <c:v>7.2330800000000002</c:v>
                </c:pt>
                <c:pt idx="718">
                  <c:v>6.6563100000000004</c:v>
                </c:pt>
                <c:pt idx="719">
                  <c:v>6.0785900000000002</c:v>
                </c:pt>
                <c:pt idx="720">
                  <c:v>5.4992700000000001</c:v>
                </c:pt>
                <c:pt idx="721">
                  <c:v>4.9211999999999998</c:v>
                </c:pt>
                <c:pt idx="722">
                  <c:v>4.3860200000000003</c:v>
                </c:pt>
                <c:pt idx="723">
                  <c:v>3.8576899999999998</c:v>
                </c:pt>
                <c:pt idx="724">
                  <c:v>3.3285</c:v>
                </c:pt>
                <c:pt idx="725">
                  <c:v>2.79847</c:v>
                </c:pt>
                <c:pt idx="726">
                  <c:v>2.2683800000000001</c:v>
                </c:pt>
                <c:pt idx="727">
                  <c:v>1.7307699999999999</c:v>
                </c:pt>
                <c:pt idx="728">
                  <c:v>1.18665</c:v>
                </c:pt>
                <c:pt idx="729">
                  <c:v>0.643258</c:v>
                </c:pt>
                <c:pt idx="730">
                  <c:v>0.14613899999999999</c:v>
                </c:pt>
                <c:pt idx="731">
                  <c:v>-0.310419</c:v>
                </c:pt>
                <c:pt idx="732">
                  <c:v>-0.75789099999999998</c:v>
                </c:pt>
                <c:pt idx="733">
                  <c:v>-1.1995499999999999</c:v>
                </c:pt>
                <c:pt idx="734">
                  <c:v>-1.5702</c:v>
                </c:pt>
                <c:pt idx="735">
                  <c:v>-1.9372400000000001</c:v>
                </c:pt>
                <c:pt idx="736">
                  <c:v>-2.3263799999999999</c:v>
                </c:pt>
                <c:pt idx="737">
                  <c:v>-2.71279</c:v>
                </c:pt>
                <c:pt idx="738">
                  <c:v>-3.08941</c:v>
                </c:pt>
                <c:pt idx="739">
                  <c:v>-3.4723799999999998</c:v>
                </c:pt>
                <c:pt idx="740">
                  <c:v>-3.8668</c:v>
                </c:pt>
                <c:pt idx="741">
                  <c:v>-4.2507900000000003</c:v>
                </c:pt>
                <c:pt idx="742">
                  <c:v>-4.6373800000000003</c:v>
                </c:pt>
                <c:pt idx="743">
                  <c:v>-5.0439299999999996</c:v>
                </c:pt>
                <c:pt idx="744">
                  <c:v>-5.4601899999999999</c:v>
                </c:pt>
                <c:pt idx="745">
                  <c:v>-5.8855300000000002</c:v>
                </c:pt>
                <c:pt idx="746">
                  <c:v>-6.3399299999999998</c:v>
                </c:pt>
                <c:pt idx="747">
                  <c:v>-6.80959</c:v>
                </c:pt>
                <c:pt idx="748">
                  <c:v>-7.2935299999999996</c:v>
                </c:pt>
                <c:pt idx="749">
                  <c:v>-7.8087900000000001</c:v>
                </c:pt>
                <c:pt idx="750">
                  <c:v>-8.3300599999999996</c:v>
                </c:pt>
                <c:pt idx="751">
                  <c:v>-8.8692799999999998</c:v>
                </c:pt>
                <c:pt idx="752">
                  <c:v>-9.3897700000000004</c:v>
                </c:pt>
                <c:pt idx="753">
                  <c:v>-9.9050100000000008</c:v>
                </c:pt>
                <c:pt idx="754">
                  <c:v>-10.4213</c:v>
                </c:pt>
                <c:pt idx="755">
                  <c:v>-10.9383</c:v>
                </c:pt>
                <c:pt idx="756">
                  <c:v>-11.4444</c:v>
                </c:pt>
                <c:pt idx="757">
                  <c:v>-11.9472</c:v>
                </c:pt>
                <c:pt idx="758">
                  <c:v>-12.436</c:v>
                </c:pt>
                <c:pt idx="759">
                  <c:v>-12.8996</c:v>
                </c:pt>
                <c:pt idx="760">
                  <c:v>-13.3337</c:v>
                </c:pt>
                <c:pt idx="761">
                  <c:v>-13.734</c:v>
                </c:pt>
                <c:pt idx="762">
                  <c:v>-14.1074</c:v>
                </c:pt>
                <c:pt idx="763">
                  <c:v>-14.446199999999999</c:v>
                </c:pt>
                <c:pt idx="764">
                  <c:v>-14.7547</c:v>
                </c:pt>
                <c:pt idx="765">
                  <c:v>-15.047599999999999</c:v>
                </c:pt>
                <c:pt idx="766">
                  <c:v>-15.3201</c:v>
                </c:pt>
                <c:pt idx="767">
                  <c:v>-15.5763</c:v>
                </c:pt>
                <c:pt idx="768">
                  <c:v>-15.8264</c:v>
                </c:pt>
                <c:pt idx="769">
                  <c:v>-16.0627</c:v>
                </c:pt>
                <c:pt idx="770">
                  <c:v>-16.286799999999999</c:v>
                </c:pt>
                <c:pt idx="771">
                  <c:v>-16.504300000000001</c:v>
                </c:pt>
                <c:pt idx="772">
                  <c:v>-16.7182</c:v>
                </c:pt>
                <c:pt idx="773">
                  <c:v>-16.921199999999999</c:v>
                </c:pt>
                <c:pt idx="774">
                  <c:v>-17.102399999999999</c:v>
                </c:pt>
                <c:pt idx="775">
                  <c:v>-17.275400000000001</c:v>
                </c:pt>
                <c:pt idx="776">
                  <c:v>-17.4451</c:v>
                </c:pt>
                <c:pt idx="777">
                  <c:v>-17.61</c:v>
                </c:pt>
                <c:pt idx="778">
                  <c:v>-17.768799999999999</c:v>
                </c:pt>
                <c:pt idx="779">
                  <c:v>-17.9237</c:v>
                </c:pt>
                <c:pt idx="780">
                  <c:v>-18.074300000000001</c:v>
                </c:pt>
                <c:pt idx="781">
                  <c:v>-18.220600000000001</c:v>
                </c:pt>
                <c:pt idx="782">
                  <c:v>-18.365100000000002</c:v>
                </c:pt>
                <c:pt idx="783">
                  <c:v>-18.508099999999999</c:v>
                </c:pt>
                <c:pt idx="784">
                  <c:v>-18.6492</c:v>
                </c:pt>
                <c:pt idx="785">
                  <c:v>-18.776399999999999</c:v>
                </c:pt>
                <c:pt idx="786">
                  <c:v>-18.861599999999999</c:v>
                </c:pt>
                <c:pt idx="787">
                  <c:v>-18.893999999999998</c:v>
                </c:pt>
                <c:pt idx="788">
                  <c:v>-18.909199999999998</c:v>
                </c:pt>
                <c:pt idx="789">
                  <c:v>-18.908200000000001</c:v>
                </c:pt>
                <c:pt idx="790">
                  <c:v>-18.9039</c:v>
                </c:pt>
                <c:pt idx="791">
                  <c:v>-18.896999999999998</c:v>
                </c:pt>
                <c:pt idx="792">
                  <c:v>-18.887599999999999</c:v>
                </c:pt>
                <c:pt idx="793">
                  <c:v>-18.875399999999999</c:v>
                </c:pt>
                <c:pt idx="794">
                  <c:v>-18.861699999999999</c:v>
                </c:pt>
                <c:pt idx="795">
                  <c:v>-18.846900000000002</c:v>
                </c:pt>
                <c:pt idx="796">
                  <c:v>-18.8306</c:v>
                </c:pt>
                <c:pt idx="797">
                  <c:v>-18.8126</c:v>
                </c:pt>
                <c:pt idx="798">
                  <c:v>-18.7928</c:v>
                </c:pt>
                <c:pt idx="799">
                  <c:v>-18.770800000000001</c:v>
                </c:pt>
                <c:pt idx="800">
                  <c:v>-18.3795</c:v>
                </c:pt>
                <c:pt idx="801">
                  <c:v>-17.9832</c:v>
                </c:pt>
                <c:pt idx="802">
                  <c:v>-17.581499999999998</c:v>
                </c:pt>
                <c:pt idx="803">
                  <c:v>-17.175899999999999</c:v>
                </c:pt>
                <c:pt idx="804">
                  <c:v>-16.7638</c:v>
                </c:pt>
                <c:pt idx="805">
                  <c:v>-16.345400000000001</c:v>
                </c:pt>
                <c:pt idx="806">
                  <c:v>-15.921900000000001</c:v>
                </c:pt>
                <c:pt idx="807">
                  <c:v>-15.4922</c:v>
                </c:pt>
                <c:pt idx="808">
                  <c:v>-15.0547</c:v>
                </c:pt>
                <c:pt idx="809">
                  <c:v>-14.613</c:v>
                </c:pt>
                <c:pt idx="810">
                  <c:v>-14.162699999999999</c:v>
                </c:pt>
                <c:pt idx="811">
                  <c:v>-13.7064</c:v>
                </c:pt>
                <c:pt idx="812">
                  <c:v>-13.2461</c:v>
                </c:pt>
                <c:pt idx="813">
                  <c:v>-12.7798</c:v>
                </c:pt>
                <c:pt idx="814">
                  <c:v>-12.3087</c:v>
                </c:pt>
                <c:pt idx="815">
                  <c:v>-11.831799999999999</c:v>
                </c:pt>
                <c:pt idx="816">
                  <c:v>-11.350199999999999</c:v>
                </c:pt>
                <c:pt idx="817">
                  <c:v>-10.8896</c:v>
                </c:pt>
                <c:pt idx="818">
                  <c:v>-10.457000000000001</c:v>
                </c:pt>
                <c:pt idx="819">
                  <c:v>-10.095499999999999</c:v>
                </c:pt>
                <c:pt idx="820">
                  <c:v>-9.7382100000000005</c:v>
                </c:pt>
                <c:pt idx="821">
                  <c:v>-9.3886699999999994</c:v>
                </c:pt>
                <c:pt idx="822">
                  <c:v>-9.0353100000000008</c:v>
                </c:pt>
                <c:pt idx="823">
                  <c:v>-8.6796600000000002</c:v>
                </c:pt>
                <c:pt idx="824">
                  <c:v>-8.3398099999999999</c:v>
                </c:pt>
                <c:pt idx="825">
                  <c:v>-8.0033999999999992</c:v>
                </c:pt>
                <c:pt idx="826">
                  <c:v>-7.7434799999999999</c:v>
                </c:pt>
                <c:pt idx="827">
                  <c:v>-7.5039600000000002</c:v>
                </c:pt>
                <c:pt idx="828">
                  <c:v>-7.2713400000000004</c:v>
                </c:pt>
                <c:pt idx="829">
                  <c:v>-7.0285200000000003</c:v>
                </c:pt>
                <c:pt idx="830">
                  <c:v>-6.7652099999999997</c:v>
                </c:pt>
                <c:pt idx="831">
                  <c:v>-6.4800300000000002</c:v>
                </c:pt>
                <c:pt idx="832">
                  <c:v>-6.1413799999999998</c:v>
                </c:pt>
                <c:pt idx="833">
                  <c:v>-5.7270000000000003</c:v>
                </c:pt>
                <c:pt idx="834">
                  <c:v>-5.2401400000000002</c:v>
                </c:pt>
                <c:pt idx="835">
                  <c:v>-4.7031499999999999</c:v>
                </c:pt>
                <c:pt idx="836">
                  <c:v>-4.1541199999999998</c:v>
                </c:pt>
                <c:pt idx="837">
                  <c:v>-3.5910299999999999</c:v>
                </c:pt>
                <c:pt idx="838">
                  <c:v>-3.0129800000000002</c:v>
                </c:pt>
                <c:pt idx="839">
                  <c:v>-2.4445399999999999</c:v>
                </c:pt>
                <c:pt idx="840">
                  <c:v>-1.8846099999999999</c:v>
                </c:pt>
                <c:pt idx="841">
                  <c:v>-1.33229</c:v>
                </c:pt>
                <c:pt idx="842">
                  <c:v>-0.77975300000000003</c:v>
                </c:pt>
                <c:pt idx="843">
                  <c:v>-0.254247</c:v>
                </c:pt>
                <c:pt idx="844">
                  <c:v>0.25860699999999998</c:v>
                </c:pt>
                <c:pt idx="845">
                  <c:v>0.77025299999999997</c:v>
                </c:pt>
                <c:pt idx="846">
                  <c:v>1.2255199999999999</c:v>
                </c:pt>
                <c:pt idx="847">
                  <c:v>1.6600299999999999</c:v>
                </c:pt>
                <c:pt idx="848">
                  <c:v>2.0990600000000001</c:v>
                </c:pt>
                <c:pt idx="849">
                  <c:v>2.5264799999999998</c:v>
                </c:pt>
                <c:pt idx="850">
                  <c:v>2.9402599999999999</c:v>
                </c:pt>
                <c:pt idx="851">
                  <c:v>3.3505400000000001</c:v>
                </c:pt>
                <c:pt idx="852">
                  <c:v>3.7546200000000001</c:v>
                </c:pt>
                <c:pt idx="853">
                  <c:v>4.1713399999999998</c:v>
                </c:pt>
                <c:pt idx="854">
                  <c:v>4.5825699999999996</c:v>
                </c:pt>
                <c:pt idx="855">
                  <c:v>5.0051800000000002</c:v>
                </c:pt>
                <c:pt idx="856">
                  <c:v>5.4421499999999998</c:v>
                </c:pt>
                <c:pt idx="857">
                  <c:v>5.90055</c:v>
                </c:pt>
                <c:pt idx="858">
                  <c:v>6.3582000000000001</c:v>
                </c:pt>
                <c:pt idx="859">
                  <c:v>6.8120500000000002</c:v>
                </c:pt>
                <c:pt idx="860">
                  <c:v>7.19909</c:v>
                </c:pt>
                <c:pt idx="861">
                  <c:v>7.5909199999999997</c:v>
                </c:pt>
                <c:pt idx="862">
                  <c:v>7.9905400000000002</c:v>
                </c:pt>
                <c:pt idx="863">
                  <c:v>8.4071400000000001</c:v>
                </c:pt>
                <c:pt idx="864">
                  <c:v>8.8383900000000004</c:v>
                </c:pt>
                <c:pt idx="865">
                  <c:v>9.2661800000000003</c:v>
                </c:pt>
                <c:pt idx="866">
                  <c:v>9.6828599999999998</c:v>
                </c:pt>
                <c:pt idx="867">
                  <c:v>10.0892</c:v>
                </c:pt>
                <c:pt idx="868">
                  <c:v>10.491199999999999</c:v>
                </c:pt>
                <c:pt idx="869">
                  <c:v>10.8901</c:v>
                </c:pt>
                <c:pt idx="870">
                  <c:v>11.283899999999999</c:v>
                </c:pt>
                <c:pt idx="871">
                  <c:v>11.670500000000001</c:v>
                </c:pt>
                <c:pt idx="872">
                  <c:v>12.0519</c:v>
                </c:pt>
                <c:pt idx="873">
                  <c:v>12.4254</c:v>
                </c:pt>
                <c:pt idx="874">
                  <c:v>12.7964</c:v>
                </c:pt>
                <c:pt idx="875">
                  <c:v>13.165100000000001</c:v>
                </c:pt>
                <c:pt idx="876">
                  <c:v>13.531000000000001</c:v>
                </c:pt>
                <c:pt idx="877">
                  <c:v>13.8918</c:v>
                </c:pt>
                <c:pt idx="878">
                  <c:v>14.2425</c:v>
                </c:pt>
                <c:pt idx="879">
                  <c:v>14.587</c:v>
                </c:pt>
                <c:pt idx="880">
                  <c:v>14.9245</c:v>
                </c:pt>
                <c:pt idx="881">
                  <c:v>15.2562</c:v>
                </c:pt>
                <c:pt idx="882">
                  <c:v>15.5831</c:v>
                </c:pt>
                <c:pt idx="883">
                  <c:v>15.898899999999999</c:v>
                </c:pt>
                <c:pt idx="884">
                  <c:v>16.201699999999999</c:v>
                </c:pt>
                <c:pt idx="885">
                  <c:v>16.489699999999999</c:v>
                </c:pt>
                <c:pt idx="886">
                  <c:v>16.761399999999998</c:v>
                </c:pt>
                <c:pt idx="887">
                  <c:v>17.006399999999999</c:v>
                </c:pt>
                <c:pt idx="888">
                  <c:v>17.0062</c:v>
                </c:pt>
                <c:pt idx="889">
                  <c:v>16.907900000000001</c:v>
                </c:pt>
                <c:pt idx="890">
                  <c:v>16.8184</c:v>
                </c:pt>
                <c:pt idx="891">
                  <c:v>16.73</c:v>
                </c:pt>
                <c:pt idx="892">
                  <c:v>16.644400000000001</c:v>
                </c:pt>
                <c:pt idx="893">
                  <c:v>16.563199999999998</c:v>
                </c:pt>
                <c:pt idx="894">
                  <c:v>16.485299999999999</c:v>
                </c:pt>
                <c:pt idx="895">
                  <c:v>16.412299999999998</c:v>
                </c:pt>
                <c:pt idx="896">
                  <c:v>16.3444</c:v>
                </c:pt>
                <c:pt idx="897">
                  <c:v>16.2773</c:v>
                </c:pt>
                <c:pt idx="898">
                  <c:v>16.213999999999999</c:v>
                </c:pt>
                <c:pt idx="899">
                  <c:v>16.154399999999999</c:v>
                </c:pt>
                <c:pt idx="900">
                  <c:v>15.5677</c:v>
                </c:pt>
                <c:pt idx="901">
                  <c:v>14.9702</c:v>
                </c:pt>
                <c:pt idx="902">
                  <c:v>14.3637</c:v>
                </c:pt>
                <c:pt idx="903">
                  <c:v>13.7479</c:v>
                </c:pt>
                <c:pt idx="904">
                  <c:v>13.1258</c:v>
                </c:pt>
                <c:pt idx="905">
                  <c:v>12.497</c:v>
                </c:pt>
                <c:pt idx="906">
                  <c:v>11.860900000000001</c:v>
                </c:pt>
                <c:pt idx="907">
                  <c:v>11.2204</c:v>
                </c:pt>
                <c:pt idx="908">
                  <c:v>10.574</c:v>
                </c:pt>
                <c:pt idx="909">
                  <c:v>9.9224499999999995</c:v>
                </c:pt>
                <c:pt idx="910">
                  <c:v>9.2657299999999996</c:v>
                </c:pt>
                <c:pt idx="911">
                  <c:v>8.6044300000000007</c:v>
                </c:pt>
                <c:pt idx="912">
                  <c:v>7.9569000000000001</c:v>
                </c:pt>
                <c:pt idx="913">
                  <c:v>7.3371500000000003</c:v>
                </c:pt>
                <c:pt idx="914">
                  <c:v>6.7123100000000004</c:v>
                </c:pt>
                <c:pt idx="915">
                  <c:v>6.0852500000000003</c:v>
                </c:pt>
                <c:pt idx="916">
                  <c:v>5.4634499999999999</c:v>
                </c:pt>
                <c:pt idx="917">
                  <c:v>4.9051499999999999</c:v>
                </c:pt>
                <c:pt idx="918">
                  <c:v>4.3540700000000001</c:v>
                </c:pt>
                <c:pt idx="919">
                  <c:v>3.8025099999999998</c:v>
                </c:pt>
                <c:pt idx="920">
                  <c:v>3.2482600000000001</c:v>
                </c:pt>
                <c:pt idx="921">
                  <c:v>2.6888100000000001</c:v>
                </c:pt>
                <c:pt idx="922">
                  <c:v>2.16526</c:v>
                </c:pt>
                <c:pt idx="923">
                  <c:v>1.6894100000000001</c:v>
                </c:pt>
                <c:pt idx="924">
                  <c:v>1.21149</c:v>
                </c:pt>
                <c:pt idx="925">
                  <c:v>0.73458599999999996</c:v>
                </c:pt>
                <c:pt idx="926">
                  <c:v>0.25870399999999999</c:v>
                </c:pt>
                <c:pt idx="927">
                  <c:v>-0.18689</c:v>
                </c:pt>
                <c:pt idx="928">
                  <c:v>-0.564944</c:v>
                </c:pt>
                <c:pt idx="929">
                  <c:v>-0.95243199999999995</c:v>
                </c:pt>
                <c:pt idx="930">
                  <c:v>-1.3364400000000001</c:v>
                </c:pt>
                <c:pt idx="931">
                  <c:v>-1.71651</c:v>
                </c:pt>
                <c:pt idx="932">
                  <c:v>-2.1010599999999999</c:v>
                </c:pt>
                <c:pt idx="933">
                  <c:v>-2.4886499999999998</c:v>
                </c:pt>
                <c:pt idx="934">
                  <c:v>-2.8583799999999999</c:v>
                </c:pt>
                <c:pt idx="935">
                  <c:v>-3.2191800000000002</c:v>
                </c:pt>
                <c:pt idx="936">
                  <c:v>-3.5889500000000001</c:v>
                </c:pt>
                <c:pt idx="937">
                  <c:v>-3.9500099999999998</c:v>
                </c:pt>
                <c:pt idx="938">
                  <c:v>-4.3005199999999997</c:v>
                </c:pt>
                <c:pt idx="939">
                  <c:v>-4.6509200000000002</c:v>
                </c:pt>
                <c:pt idx="940">
                  <c:v>-4.9985299999999997</c:v>
                </c:pt>
                <c:pt idx="941">
                  <c:v>-5.3160400000000001</c:v>
                </c:pt>
                <c:pt idx="942">
                  <c:v>-5.6271000000000004</c:v>
                </c:pt>
                <c:pt idx="943">
                  <c:v>-5.9314099999999996</c:v>
                </c:pt>
                <c:pt idx="944">
                  <c:v>-6.2456399999999999</c:v>
                </c:pt>
                <c:pt idx="945">
                  <c:v>-6.5771899999999999</c:v>
                </c:pt>
                <c:pt idx="946">
                  <c:v>-6.9096299999999999</c:v>
                </c:pt>
                <c:pt idx="947">
                  <c:v>-7.2544300000000002</c:v>
                </c:pt>
                <c:pt idx="948">
                  <c:v>-7.6188000000000002</c:v>
                </c:pt>
                <c:pt idx="949">
                  <c:v>-8.0051000000000005</c:v>
                </c:pt>
                <c:pt idx="950">
                  <c:v>-8.3992699999999996</c:v>
                </c:pt>
                <c:pt idx="951">
                  <c:v>-8.8190200000000001</c:v>
                </c:pt>
                <c:pt idx="952">
                  <c:v>-9.2565899999999992</c:v>
                </c:pt>
                <c:pt idx="953">
                  <c:v>-9.6992899999999995</c:v>
                </c:pt>
                <c:pt idx="954">
                  <c:v>-10.1594</c:v>
                </c:pt>
                <c:pt idx="955">
                  <c:v>-10.638400000000001</c:v>
                </c:pt>
                <c:pt idx="956">
                  <c:v>-11.126200000000001</c:v>
                </c:pt>
                <c:pt idx="957">
                  <c:v>-11.604100000000001</c:v>
                </c:pt>
                <c:pt idx="958">
                  <c:v>-12.0863</c:v>
                </c:pt>
                <c:pt idx="959">
                  <c:v>-12.5641</c:v>
                </c:pt>
                <c:pt idx="960">
                  <c:v>-13.027200000000001</c:v>
                </c:pt>
                <c:pt idx="961">
                  <c:v>-13.455399999999999</c:v>
                </c:pt>
                <c:pt idx="962">
                  <c:v>-13.837</c:v>
                </c:pt>
                <c:pt idx="963">
                  <c:v>-14.1868</c:v>
                </c:pt>
                <c:pt idx="964">
                  <c:v>-14.505699999999999</c:v>
                </c:pt>
                <c:pt idx="965">
                  <c:v>-14.7995</c:v>
                </c:pt>
                <c:pt idx="966">
                  <c:v>-15.0815</c:v>
                </c:pt>
                <c:pt idx="967">
                  <c:v>-15.353300000000001</c:v>
                </c:pt>
                <c:pt idx="968">
                  <c:v>-15.610799999999999</c:v>
                </c:pt>
                <c:pt idx="969">
                  <c:v>-15.853999999999999</c:v>
                </c:pt>
                <c:pt idx="970">
                  <c:v>-16.091799999999999</c:v>
                </c:pt>
                <c:pt idx="971">
                  <c:v>-16.325099999999999</c:v>
                </c:pt>
                <c:pt idx="972">
                  <c:v>-16.546900000000001</c:v>
                </c:pt>
                <c:pt idx="973">
                  <c:v>-16.7439</c:v>
                </c:pt>
                <c:pt idx="974">
                  <c:v>-16.931799999999999</c:v>
                </c:pt>
                <c:pt idx="975">
                  <c:v>-17.1172</c:v>
                </c:pt>
                <c:pt idx="976">
                  <c:v>-17.299700000000001</c:v>
                </c:pt>
                <c:pt idx="977">
                  <c:v>-17.478899999999999</c:v>
                </c:pt>
                <c:pt idx="978">
                  <c:v>-17.651399999999999</c:v>
                </c:pt>
                <c:pt idx="979">
                  <c:v>-17.8215</c:v>
                </c:pt>
                <c:pt idx="980">
                  <c:v>-17.950900000000001</c:v>
                </c:pt>
                <c:pt idx="981">
                  <c:v>-18.062799999999999</c:v>
                </c:pt>
                <c:pt idx="982">
                  <c:v>-18.172699999999999</c:v>
                </c:pt>
                <c:pt idx="983">
                  <c:v>-18.281099999999999</c:v>
                </c:pt>
                <c:pt idx="984">
                  <c:v>-18.387499999999999</c:v>
                </c:pt>
                <c:pt idx="985">
                  <c:v>-18.488199999999999</c:v>
                </c:pt>
                <c:pt idx="986">
                  <c:v>-18.585000000000001</c:v>
                </c:pt>
                <c:pt idx="987">
                  <c:v>-18.676600000000001</c:v>
                </c:pt>
                <c:pt idx="988">
                  <c:v>-18.736799999999999</c:v>
                </c:pt>
                <c:pt idx="989">
                  <c:v>-18.722100000000001</c:v>
                </c:pt>
                <c:pt idx="990">
                  <c:v>-18.697700000000001</c:v>
                </c:pt>
                <c:pt idx="991">
                  <c:v>-18.6678</c:v>
                </c:pt>
                <c:pt idx="992">
                  <c:v>-18.635400000000001</c:v>
                </c:pt>
                <c:pt idx="993">
                  <c:v>-18.601400000000002</c:v>
                </c:pt>
                <c:pt idx="994">
                  <c:v>-18.5657</c:v>
                </c:pt>
                <c:pt idx="995">
                  <c:v>-18.525500000000001</c:v>
                </c:pt>
                <c:pt idx="996">
                  <c:v>-18.4817</c:v>
                </c:pt>
                <c:pt idx="997">
                  <c:v>-18.4343</c:v>
                </c:pt>
                <c:pt idx="998">
                  <c:v>-18.381599999999999</c:v>
                </c:pt>
                <c:pt idx="999">
                  <c:v>-18.3217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867-451E-A579-E96C9712B159}"/>
            </c:ext>
          </c:extLst>
        </c:ser>
        <c:ser>
          <c:idx val="0"/>
          <c:order val="2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Result!$B$1:$B$5000</c:f>
              <c:numCache>
                <c:formatCode>General</c:formatCode>
                <c:ptCount val="5000"/>
                <c:pt idx="0">
                  <c:v>4.9811899999999999E-2</c:v>
                </c:pt>
                <c:pt idx="1">
                  <c:v>9.9811899999999995E-2</c:v>
                </c:pt>
                <c:pt idx="2">
                  <c:v>0.149812</c:v>
                </c:pt>
                <c:pt idx="3">
                  <c:v>0.19981199999999999</c:v>
                </c:pt>
                <c:pt idx="4">
                  <c:v>0.24981200000000001</c:v>
                </c:pt>
                <c:pt idx="5">
                  <c:v>0.29981200000000002</c:v>
                </c:pt>
                <c:pt idx="6">
                  <c:v>0.34981200000000001</c:v>
                </c:pt>
                <c:pt idx="7">
                  <c:v>0.399812</c:v>
                </c:pt>
                <c:pt idx="8">
                  <c:v>0.44981199999999999</c:v>
                </c:pt>
                <c:pt idx="9">
                  <c:v>0.49981199999999998</c:v>
                </c:pt>
                <c:pt idx="10">
                  <c:v>0.54981199999999997</c:v>
                </c:pt>
                <c:pt idx="11">
                  <c:v>0.59981200000000001</c:v>
                </c:pt>
                <c:pt idx="12">
                  <c:v>0.64981199999999995</c:v>
                </c:pt>
                <c:pt idx="13">
                  <c:v>0.69981199999999999</c:v>
                </c:pt>
                <c:pt idx="14">
                  <c:v>0.74981200000000003</c:v>
                </c:pt>
                <c:pt idx="15">
                  <c:v>0.79981199999999997</c:v>
                </c:pt>
                <c:pt idx="16">
                  <c:v>0.84981200000000001</c:v>
                </c:pt>
                <c:pt idx="17">
                  <c:v>0.89981199999999995</c:v>
                </c:pt>
                <c:pt idx="18">
                  <c:v>0.94981199999999999</c:v>
                </c:pt>
                <c:pt idx="19">
                  <c:v>0.99981200000000003</c:v>
                </c:pt>
                <c:pt idx="20">
                  <c:v>1.0498099999999999</c:v>
                </c:pt>
                <c:pt idx="21">
                  <c:v>1.09981</c:v>
                </c:pt>
                <c:pt idx="22">
                  <c:v>1.14981</c:v>
                </c:pt>
                <c:pt idx="23">
                  <c:v>1.19981</c:v>
                </c:pt>
                <c:pt idx="24">
                  <c:v>1.2498100000000001</c:v>
                </c:pt>
                <c:pt idx="25">
                  <c:v>1.2998099999999999</c:v>
                </c:pt>
                <c:pt idx="26">
                  <c:v>1.34981</c:v>
                </c:pt>
                <c:pt idx="27">
                  <c:v>1.39981</c:v>
                </c:pt>
                <c:pt idx="28">
                  <c:v>1.44981</c:v>
                </c:pt>
                <c:pt idx="29">
                  <c:v>1.4998100000000001</c:v>
                </c:pt>
                <c:pt idx="30">
                  <c:v>1.5498099999999999</c:v>
                </c:pt>
                <c:pt idx="31">
                  <c:v>1.59981</c:v>
                </c:pt>
                <c:pt idx="32">
                  <c:v>1.64981</c:v>
                </c:pt>
                <c:pt idx="33">
                  <c:v>1.69981</c:v>
                </c:pt>
                <c:pt idx="34">
                  <c:v>1.7498100000000001</c:v>
                </c:pt>
                <c:pt idx="35">
                  <c:v>1.7998099999999999</c:v>
                </c:pt>
                <c:pt idx="36">
                  <c:v>1.84981</c:v>
                </c:pt>
                <c:pt idx="37">
                  <c:v>1.89981</c:v>
                </c:pt>
                <c:pt idx="38">
                  <c:v>1.94981</c:v>
                </c:pt>
                <c:pt idx="39">
                  <c:v>1.9998100000000001</c:v>
                </c:pt>
                <c:pt idx="40">
                  <c:v>2.0498099999999999</c:v>
                </c:pt>
                <c:pt idx="41">
                  <c:v>2.0998100000000002</c:v>
                </c:pt>
                <c:pt idx="42">
                  <c:v>2.14981</c:v>
                </c:pt>
                <c:pt idx="43">
                  <c:v>2.1998099999999998</c:v>
                </c:pt>
                <c:pt idx="44">
                  <c:v>2.2498100000000001</c:v>
                </c:pt>
                <c:pt idx="45">
                  <c:v>2.2998099999999999</c:v>
                </c:pt>
                <c:pt idx="46">
                  <c:v>2.3498100000000002</c:v>
                </c:pt>
                <c:pt idx="47">
                  <c:v>2.39981</c:v>
                </c:pt>
                <c:pt idx="48">
                  <c:v>2.4498099999999998</c:v>
                </c:pt>
                <c:pt idx="49">
                  <c:v>2.4998100000000001</c:v>
                </c:pt>
                <c:pt idx="50">
                  <c:v>2.5498099999999999</c:v>
                </c:pt>
                <c:pt idx="51">
                  <c:v>2.5998100000000002</c:v>
                </c:pt>
                <c:pt idx="52">
                  <c:v>2.64981</c:v>
                </c:pt>
                <c:pt idx="53">
                  <c:v>2.6998099999999998</c:v>
                </c:pt>
                <c:pt idx="54">
                  <c:v>2.7498100000000001</c:v>
                </c:pt>
                <c:pt idx="55">
                  <c:v>2.7998099999999999</c:v>
                </c:pt>
                <c:pt idx="56">
                  <c:v>2.8498100000000002</c:v>
                </c:pt>
                <c:pt idx="57">
                  <c:v>2.89981</c:v>
                </c:pt>
                <c:pt idx="58">
                  <c:v>2.9498099999999998</c:v>
                </c:pt>
                <c:pt idx="59">
                  <c:v>2.9998100000000001</c:v>
                </c:pt>
                <c:pt idx="60">
                  <c:v>3.0498099999999999</c:v>
                </c:pt>
                <c:pt idx="61">
                  <c:v>3.0998100000000002</c:v>
                </c:pt>
                <c:pt idx="62">
                  <c:v>3.14981</c:v>
                </c:pt>
                <c:pt idx="63">
                  <c:v>3.1998099999999998</c:v>
                </c:pt>
                <c:pt idx="64">
                  <c:v>3.2498100000000001</c:v>
                </c:pt>
                <c:pt idx="65">
                  <c:v>3.2998099999999999</c:v>
                </c:pt>
                <c:pt idx="66">
                  <c:v>3.3498100000000002</c:v>
                </c:pt>
                <c:pt idx="67">
                  <c:v>3.39981</c:v>
                </c:pt>
                <c:pt idx="68">
                  <c:v>3.4498099999999998</c:v>
                </c:pt>
                <c:pt idx="69">
                  <c:v>3.4998100000000001</c:v>
                </c:pt>
                <c:pt idx="70">
                  <c:v>3.5498099999999999</c:v>
                </c:pt>
                <c:pt idx="71">
                  <c:v>3.5998100000000002</c:v>
                </c:pt>
                <c:pt idx="72">
                  <c:v>3.64981</c:v>
                </c:pt>
                <c:pt idx="73">
                  <c:v>3.6998099999999998</c:v>
                </c:pt>
                <c:pt idx="74">
                  <c:v>3.7498100000000001</c:v>
                </c:pt>
                <c:pt idx="75">
                  <c:v>3.7998099999999999</c:v>
                </c:pt>
                <c:pt idx="76">
                  <c:v>3.8498100000000002</c:v>
                </c:pt>
                <c:pt idx="77">
                  <c:v>3.89981</c:v>
                </c:pt>
                <c:pt idx="78">
                  <c:v>3.9498099999999998</c:v>
                </c:pt>
                <c:pt idx="79">
                  <c:v>3.9998100000000001</c:v>
                </c:pt>
                <c:pt idx="80">
                  <c:v>4.0498099999999999</c:v>
                </c:pt>
                <c:pt idx="81">
                  <c:v>4.0998099999999997</c:v>
                </c:pt>
                <c:pt idx="82">
                  <c:v>4.1498100000000004</c:v>
                </c:pt>
                <c:pt idx="83">
                  <c:v>4.1998100000000003</c:v>
                </c:pt>
                <c:pt idx="84">
                  <c:v>4.2498100000000001</c:v>
                </c:pt>
                <c:pt idx="85">
                  <c:v>4.2998099999999999</c:v>
                </c:pt>
                <c:pt idx="86">
                  <c:v>4.3498099999999997</c:v>
                </c:pt>
                <c:pt idx="87">
                  <c:v>4.3998100000000004</c:v>
                </c:pt>
                <c:pt idx="88">
                  <c:v>4.4498100000000003</c:v>
                </c:pt>
                <c:pt idx="89">
                  <c:v>4.4998100000000001</c:v>
                </c:pt>
                <c:pt idx="90">
                  <c:v>4.5498099999999999</c:v>
                </c:pt>
                <c:pt idx="91">
                  <c:v>4.5998099999999997</c:v>
                </c:pt>
                <c:pt idx="92">
                  <c:v>4.6498100000000004</c:v>
                </c:pt>
                <c:pt idx="93">
                  <c:v>4.6998100000000003</c:v>
                </c:pt>
                <c:pt idx="94">
                  <c:v>4.7498100000000001</c:v>
                </c:pt>
                <c:pt idx="95">
                  <c:v>4.7998099999999999</c:v>
                </c:pt>
                <c:pt idx="96">
                  <c:v>4.8498099999999997</c:v>
                </c:pt>
                <c:pt idx="97">
                  <c:v>4.8998100000000004</c:v>
                </c:pt>
                <c:pt idx="98">
                  <c:v>4.9498100000000003</c:v>
                </c:pt>
                <c:pt idx="99">
                  <c:v>4.9998100000000001</c:v>
                </c:pt>
                <c:pt idx="100">
                  <c:v>4.8998100000000004</c:v>
                </c:pt>
                <c:pt idx="101">
                  <c:v>4.7998099999999999</c:v>
                </c:pt>
                <c:pt idx="102">
                  <c:v>4.6998100000000003</c:v>
                </c:pt>
                <c:pt idx="103">
                  <c:v>4.5998099999999997</c:v>
                </c:pt>
                <c:pt idx="104">
                  <c:v>4.4998100000000001</c:v>
                </c:pt>
                <c:pt idx="105">
                  <c:v>4.3998100000000004</c:v>
                </c:pt>
                <c:pt idx="106">
                  <c:v>4.2998099999999999</c:v>
                </c:pt>
                <c:pt idx="107">
                  <c:v>4.1998100000000003</c:v>
                </c:pt>
                <c:pt idx="108">
                  <c:v>4.0998099999999997</c:v>
                </c:pt>
                <c:pt idx="109">
                  <c:v>3.9998100000000001</c:v>
                </c:pt>
                <c:pt idx="110">
                  <c:v>3.89981</c:v>
                </c:pt>
                <c:pt idx="111">
                  <c:v>3.7998099999999999</c:v>
                </c:pt>
                <c:pt idx="112">
                  <c:v>3.6998099999999998</c:v>
                </c:pt>
                <c:pt idx="113">
                  <c:v>3.5998100000000002</c:v>
                </c:pt>
                <c:pt idx="114">
                  <c:v>3.4998100000000001</c:v>
                </c:pt>
                <c:pt idx="115">
                  <c:v>3.39981</c:v>
                </c:pt>
                <c:pt idx="116">
                  <c:v>3.2998099999999999</c:v>
                </c:pt>
                <c:pt idx="117">
                  <c:v>3.1998099999999998</c:v>
                </c:pt>
                <c:pt idx="118">
                  <c:v>3.0998100000000002</c:v>
                </c:pt>
                <c:pt idx="119">
                  <c:v>2.9998100000000001</c:v>
                </c:pt>
                <c:pt idx="120">
                  <c:v>2.89981</c:v>
                </c:pt>
                <c:pt idx="121">
                  <c:v>2.7998099999999999</c:v>
                </c:pt>
                <c:pt idx="122">
                  <c:v>2.6998099999999998</c:v>
                </c:pt>
                <c:pt idx="123">
                  <c:v>2.5998100000000002</c:v>
                </c:pt>
                <c:pt idx="124">
                  <c:v>2.4998100000000001</c:v>
                </c:pt>
                <c:pt idx="125">
                  <c:v>2.39981</c:v>
                </c:pt>
                <c:pt idx="126">
                  <c:v>2.2998099999999999</c:v>
                </c:pt>
                <c:pt idx="127">
                  <c:v>2.1998099999999998</c:v>
                </c:pt>
                <c:pt idx="128">
                  <c:v>2.0998100000000002</c:v>
                </c:pt>
                <c:pt idx="129">
                  <c:v>1.9998100000000001</c:v>
                </c:pt>
                <c:pt idx="130">
                  <c:v>1.89981</c:v>
                </c:pt>
                <c:pt idx="131">
                  <c:v>1.7998099999999999</c:v>
                </c:pt>
                <c:pt idx="132">
                  <c:v>1.69981</c:v>
                </c:pt>
                <c:pt idx="133">
                  <c:v>1.59981</c:v>
                </c:pt>
                <c:pt idx="134">
                  <c:v>1.4998100000000001</c:v>
                </c:pt>
                <c:pt idx="135">
                  <c:v>1.39981</c:v>
                </c:pt>
                <c:pt idx="136">
                  <c:v>1.2998099999999999</c:v>
                </c:pt>
                <c:pt idx="137">
                  <c:v>1.19981</c:v>
                </c:pt>
                <c:pt idx="138">
                  <c:v>1.09981</c:v>
                </c:pt>
                <c:pt idx="139">
                  <c:v>0.99981200000000003</c:v>
                </c:pt>
                <c:pt idx="140">
                  <c:v>0.89981199999999995</c:v>
                </c:pt>
                <c:pt idx="141">
                  <c:v>0.79981199999999997</c:v>
                </c:pt>
                <c:pt idx="142">
                  <c:v>0.69981199999999999</c:v>
                </c:pt>
                <c:pt idx="143">
                  <c:v>0.59981200000000001</c:v>
                </c:pt>
                <c:pt idx="144">
                  <c:v>0.49981199999999998</c:v>
                </c:pt>
                <c:pt idx="145">
                  <c:v>0.399812</c:v>
                </c:pt>
                <c:pt idx="146">
                  <c:v>0.29981200000000002</c:v>
                </c:pt>
                <c:pt idx="147">
                  <c:v>0.19981199999999999</c:v>
                </c:pt>
                <c:pt idx="148">
                  <c:v>9.9811899999999995E-2</c:v>
                </c:pt>
                <c:pt idx="149">
                  <c:v>-1.8810300000000001E-4</c:v>
                </c:pt>
                <c:pt idx="150">
                  <c:v>-0.100188</c:v>
                </c:pt>
                <c:pt idx="151">
                  <c:v>-0.200188</c:v>
                </c:pt>
                <c:pt idx="152">
                  <c:v>-0.30018800000000001</c:v>
                </c:pt>
                <c:pt idx="153">
                  <c:v>-0.40018799999999999</c:v>
                </c:pt>
                <c:pt idx="154">
                  <c:v>-0.50018799999999997</c:v>
                </c:pt>
                <c:pt idx="155">
                  <c:v>-0.60018800000000005</c:v>
                </c:pt>
                <c:pt idx="156">
                  <c:v>-0.70018800000000003</c:v>
                </c:pt>
                <c:pt idx="157">
                  <c:v>-0.80018800000000001</c:v>
                </c:pt>
                <c:pt idx="158">
                  <c:v>-0.90018799999999999</c:v>
                </c:pt>
                <c:pt idx="159">
                  <c:v>-1.0001899999999999</c:v>
                </c:pt>
                <c:pt idx="160">
                  <c:v>-1.10019</c:v>
                </c:pt>
                <c:pt idx="161">
                  <c:v>-1.2001900000000001</c:v>
                </c:pt>
                <c:pt idx="162">
                  <c:v>-1.30019</c:v>
                </c:pt>
                <c:pt idx="163">
                  <c:v>-1.40019</c:v>
                </c:pt>
                <c:pt idx="164">
                  <c:v>-1.5001899999999999</c:v>
                </c:pt>
                <c:pt idx="165">
                  <c:v>-1.60019</c:v>
                </c:pt>
                <c:pt idx="166">
                  <c:v>-1.7001900000000001</c:v>
                </c:pt>
                <c:pt idx="167">
                  <c:v>-1.80019</c:v>
                </c:pt>
                <c:pt idx="168">
                  <c:v>-1.90019</c:v>
                </c:pt>
                <c:pt idx="169">
                  <c:v>-2.0001899999999999</c:v>
                </c:pt>
                <c:pt idx="170">
                  <c:v>-2.10019</c:v>
                </c:pt>
                <c:pt idx="171">
                  <c:v>-2.2001900000000001</c:v>
                </c:pt>
                <c:pt idx="172">
                  <c:v>-2.3001900000000002</c:v>
                </c:pt>
                <c:pt idx="173">
                  <c:v>-2.4001899999999998</c:v>
                </c:pt>
                <c:pt idx="174">
                  <c:v>-2.5001899999999999</c:v>
                </c:pt>
                <c:pt idx="175">
                  <c:v>-2.60019</c:v>
                </c:pt>
                <c:pt idx="176">
                  <c:v>-2.7001900000000001</c:v>
                </c:pt>
                <c:pt idx="177">
                  <c:v>-2.8001900000000002</c:v>
                </c:pt>
                <c:pt idx="178">
                  <c:v>-2.9001899999999998</c:v>
                </c:pt>
                <c:pt idx="179">
                  <c:v>-3.0001899999999999</c:v>
                </c:pt>
                <c:pt idx="180">
                  <c:v>-3.10019</c:v>
                </c:pt>
                <c:pt idx="181">
                  <c:v>-3.2001900000000001</c:v>
                </c:pt>
                <c:pt idx="182">
                  <c:v>-3.3001900000000002</c:v>
                </c:pt>
                <c:pt idx="183">
                  <c:v>-3.4001899999999998</c:v>
                </c:pt>
                <c:pt idx="184">
                  <c:v>-3.5001899999999999</c:v>
                </c:pt>
                <c:pt idx="185">
                  <c:v>-3.60019</c:v>
                </c:pt>
                <c:pt idx="186">
                  <c:v>-3.7001900000000001</c:v>
                </c:pt>
                <c:pt idx="187">
                  <c:v>-3.8001900000000002</c:v>
                </c:pt>
                <c:pt idx="188">
                  <c:v>-3.9001899999999998</c:v>
                </c:pt>
                <c:pt idx="189">
                  <c:v>-4.0001899999999999</c:v>
                </c:pt>
                <c:pt idx="190">
                  <c:v>-4.1001899999999996</c:v>
                </c:pt>
                <c:pt idx="191">
                  <c:v>-4.2001900000000001</c:v>
                </c:pt>
                <c:pt idx="192">
                  <c:v>-4.3001899999999997</c:v>
                </c:pt>
                <c:pt idx="193">
                  <c:v>-4.4001900000000003</c:v>
                </c:pt>
                <c:pt idx="194">
                  <c:v>-4.5001899999999999</c:v>
                </c:pt>
                <c:pt idx="195">
                  <c:v>-4.6001899999999996</c:v>
                </c:pt>
                <c:pt idx="196">
                  <c:v>-4.7001900000000001</c:v>
                </c:pt>
                <c:pt idx="197">
                  <c:v>-4.8001899999999997</c:v>
                </c:pt>
                <c:pt idx="198">
                  <c:v>-4.9001900000000003</c:v>
                </c:pt>
                <c:pt idx="199">
                  <c:v>-5.0001899999999999</c:v>
                </c:pt>
                <c:pt idx="200">
                  <c:v>-4.8501899999999996</c:v>
                </c:pt>
                <c:pt idx="201">
                  <c:v>-4.7001900000000001</c:v>
                </c:pt>
                <c:pt idx="202">
                  <c:v>-4.5501899999999997</c:v>
                </c:pt>
                <c:pt idx="203">
                  <c:v>-4.4001900000000003</c:v>
                </c:pt>
                <c:pt idx="204">
                  <c:v>-4.2501899999999999</c:v>
                </c:pt>
                <c:pt idx="205">
                  <c:v>-4.1001899999999996</c:v>
                </c:pt>
                <c:pt idx="206">
                  <c:v>-3.9501900000000001</c:v>
                </c:pt>
                <c:pt idx="207">
                  <c:v>-3.8001900000000002</c:v>
                </c:pt>
                <c:pt idx="208">
                  <c:v>-3.6501899999999998</c:v>
                </c:pt>
                <c:pt idx="209">
                  <c:v>-3.5001899999999999</c:v>
                </c:pt>
                <c:pt idx="210">
                  <c:v>-3.35019</c:v>
                </c:pt>
                <c:pt idx="211">
                  <c:v>-3.2001900000000001</c:v>
                </c:pt>
                <c:pt idx="212">
                  <c:v>-3.0501900000000002</c:v>
                </c:pt>
                <c:pt idx="213">
                  <c:v>-2.9001899999999998</c:v>
                </c:pt>
                <c:pt idx="214">
                  <c:v>-2.7501899999999999</c:v>
                </c:pt>
                <c:pt idx="215">
                  <c:v>-2.60019</c:v>
                </c:pt>
                <c:pt idx="216">
                  <c:v>-2.4501900000000001</c:v>
                </c:pt>
                <c:pt idx="217">
                  <c:v>-2.3001900000000002</c:v>
                </c:pt>
                <c:pt idx="218">
                  <c:v>-2.1501899999999998</c:v>
                </c:pt>
                <c:pt idx="219">
                  <c:v>-2.0001899999999999</c:v>
                </c:pt>
                <c:pt idx="220">
                  <c:v>-1.85019</c:v>
                </c:pt>
                <c:pt idx="221">
                  <c:v>-1.7001900000000001</c:v>
                </c:pt>
                <c:pt idx="222">
                  <c:v>-1.55019</c:v>
                </c:pt>
                <c:pt idx="223">
                  <c:v>-1.40019</c:v>
                </c:pt>
                <c:pt idx="224">
                  <c:v>-1.2501899999999999</c:v>
                </c:pt>
                <c:pt idx="225">
                  <c:v>-1.10019</c:v>
                </c:pt>
                <c:pt idx="226">
                  <c:v>-0.95018800000000003</c:v>
                </c:pt>
                <c:pt idx="227">
                  <c:v>-0.80018800000000001</c:v>
                </c:pt>
                <c:pt idx="228">
                  <c:v>-0.65018799999999999</c:v>
                </c:pt>
                <c:pt idx="229">
                  <c:v>-0.50018799999999997</c:v>
                </c:pt>
                <c:pt idx="230">
                  <c:v>-0.350188</c:v>
                </c:pt>
                <c:pt idx="231">
                  <c:v>-0.200188</c:v>
                </c:pt>
                <c:pt idx="232">
                  <c:v>-5.0188099999999999E-2</c:v>
                </c:pt>
                <c:pt idx="233">
                  <c:v>9.9811899999999995E-2</c:v>
                </c:pt>
                <c:pt idx="234">
                  <c:v>0.24981200000000001</c:v>
                </c:pt>
                <c:pt idx="235">
                  <c:v>0.399812</c:v>
                </c:pt>
                <c:pt idx="236">
                  <c:v>0.54981199999999997</c:v>
                </c:pt>
                <c:pt idx="237">
                  <c:v>0.69981199999999999</c:v>
                </c:pt>
                <c:pt idx="238">
                  <c:v>0.84981200000000001</c:v>
                </c:pt>
                <c:pt idx="239">
                  <c:v>0.99981200000000003</c:v>
                </c:pt>
                <c:pt idx="240">
                  <c:v>1.14981</c:v>
                </c:pt>
                <c:pt idx="241">
                  <c:v>1.2998099999999999</c:v>
                </c:pt>
                <c:pt idx="242">
                  <c:v>1.44981</c:v>
                </c:pt>
                <c:pt idx="243">
                  <c:v>1.59981</c:v>
                </c:pt>
                <c:pt idx="244">
                  <c:v>1.7498100000000001</c:v>
                </c:pt>
                <c:pt idx="245">
                  <c:v>1.89981</c:v>
                </c:pt>
                <c:pt idx="246">
                  <c:v>2.0498099999999999</c:v>
                </c:pt>
                <c:pt idx="247">
                  <c:v>2.1998099999999998</c:v>
                </c:pt>
                <c:pt idx="248">
                  <c:v>2.3498100000000002</c:v>
                </c:pt>
                <c:pt idx="249">
                  <c:v>2.4998100000000001</c:v>
                </c:pt>
                <c:pt idx="250">
                  <c:v>2.64981</c:v>
                </c:pt>
                <c:pt idx="251">
                  <c:v>2.7998099999999999</c:v>
                </c:pt>
                <c:pt idx="252">
                  <c:v>2.9498099999999998</c:v>
                </c:pt>
                <c:pt idx="253">
                  <c:v>3.0998100000000002</c:v>
                </c:pt>
                <c:pt idx="254">
                  <c:v>3.2498100000000001</c:v>
                </c:pt>
                <c:pt idx="255">
                  <c:v>3.39981</c:v>
                </c:pt>
                <c:pt idx="256">
                  <c:v>3.5498099999999999</c:v>
                </c:pt>
                <c:pt idx="257">
                  <c:v>3.6998099999999998</c:v>
                </c:pt>
                <c:pt idx="258">
                  <c:v>3.8498100000000002</c:v>
                </c:pt>
                <c:pt idx="259">
                  <c:v>3.9998100000000001</c:v>
                </c:pt>
                <c:pt idx="260">
                  <c:v>4.1498100000000004</c:v>
                </c:pt>
                <c:pt idx="261">
                  <c:v>4.2998099999999999</c:v>
                </c:pt>
                <c:pt idx="262">
                  <c:v>4.4498100000000003</c:v>
                </c:pt>
                <c:pt idx="263">
                  <c:v>4.5998099999999997</c:v>
                </c:pt>
                <c:pt idx="264">
                  <c:v>4.7498100000000001</c:v>
                </c:pt>
                <c:pt idx="265">
                  <c:v>4.8998100000000004</c:v>
                </c:pt>
                <c:pt idx="266">
                  <c:v>5.0498099999999999</c:v>
                </c:pt>
                <c:pt idx="267">
                  <c:v>5.1998100000000003</c:v>
                </c:pt>
                <c:pt idx="268">
                  <c:v>5.3498099999999997</c:v>
                </c:pt>
                <c:pt idx="269">
                  <c:v>5.4998100000000001</c:v>
                </c:pt>
                <c:pt idx="270">
                  <c:v>5.6498100000000004</c:v>
                </c:pt>
                <c:pt idx="271">
                  <c:v>5.7998099999999999</c:v>
                </c:pt>
                <c:pt idx="272">
                  <c:v>5.9498100000000003</c:v>
                </c:pt>
                <c:pt idx="273">
                  <c:v>6.0998099999999997</c:v>
                </c:pt>
                <c:pt idx="274">
                  <c:v>6.2498100000000001</c:v>
                </c:pt>
                <c:pt idx="275">
                  <c:v>6.3998100000000004</c:v>
                </c:pt>
                <c:pt idx="276">
                  <c:v>6.5498099999999999</c:v>
                </c:pt>
                <c:pt idx="277">
                  <c:v>6.6998100000000003</c:v>
                </c:pt>
                <c:pt idx="278">
                  <c:v>6.8498099999999997</c:v>
                </c:pt>
                <c:pt idx="279">
                  <c:v>6.9998100000000001</c:v>
                </c:pt>
                <c:pt idx="280">
                  <c:v>7.1498100000000004</c:v>
                </c:pt>
                <c:pt idx="281">
                  <c:v>7.2998099999999999</c:v>
                </c:pt>
                <c:pt idx="282">
                  <c:v>7.4498100000000003</c:v>
                </c:pt>
                <c:pt idx="283">
                  <c:v>7.5998099999999997</c:v>
                </c:pt>
                <c:pt idx="284">
                  <c:v>7.7498100000000001</c:v>
                </c:pt>
                <c:pt idx="285">
                  <c:v>7.8998100000000004</c:v>
                </c:pt>
                <c:pt idx="286">
                  <c:v>8.0498100000000008</c:v>
                </c:pt>
                <c:pt idx="287">
                  <c:v>8.1998099999999994</c:v>
                </c:pt>
                <c:pt idx="288">
                  <c:v>8.3498099999999997</c:v>
                </c:pt>
                <c:pt idx="289">
                  <c:v>8.4998100000000001</c:v>
                </c:pt>
                <c:pt idx="290">
                  <c:v>8.6498100000000004</c:v>
                </c:pt>
                <c:pt idx="291">
                  <c:v>8.7998100000000008</c:v>
                </c:pt>
                <c:pt idx="292">
                  <c:v>8.9498099999999994</c:v>
                </c:pt>
                <c:pt idx="293">
                  <c:v>9.0998099999999997</c:v>
                </c:pt>
                <c:pt idx="294">
                  <c:v>9.2498100000000001</c:v>
                </c:pt>
                <c:pt idx="295">
                  <c:v>9.3998100000000004</c:v>
                </c:pt>
                <c:pt idx="296">
                  <c:v>9.5498100000000008</c:v>
                </c:pt>
                <c:pt idx="297">
                  <c:v>9.6998099999999994</c:v>
                </c:pt>
                <c:pt idx="298">
                  <c:v>9.8498099999999997</c:v>
                </c:pt>
                <c:pt idx="299">
                  <c:v>9.9998100000000001</c:v>
                </c:pt>
                <c:pt idx="300">
                  <c:v>9.7998100000000008</c:v>
                </c:pt>
                <c:pt idx="301">
                  <c:v>9.5998099999999997</c:v>
                </c:pt>
                <c:pt idx="302">
                  <c:v>9.3998100000000004</c:v>
                </c:pt>
                <c:pt idx="303">
                  <c:v>9.1998099999999994</c:v>
                </c:pt>
                <c:pt idx="304">
                  <c:v>8.9998100000000001</c:v>
                </c:pt>
                <c:pt idx="305">
                  <c:v>8.7998100000000008</c:v>
                </c:pt>
                <c:pt idx="306">
                  <c:v>8.5998099999999997</c:v>
                </c:pt>
                <c:pt idx="307">
                  <c:v>8.3998100000000004</c:v>
                </c:pt>
                <c:pt idx="308">
                  <c:v>8.1998099999999994</c:v>
                </c:pt>
                <c:pt idx="309">
                  <c:v>7.9998100000000001</c:v>
                </c:pt>
                <c:pt idx="310">
                  <c:v>7.7998099999999999</c:v>
                </c:pt>
                <c:pt idx="311">
                  <c:v>7.5998099999999997</c:v>
                </c:pt>
                <c:pt idx="312">
                  <c:v>7.3998100000000004</c:v>
                </c:pt>
                <c:pt idx="313">
                  <c:v>7.1998100000000003</c:v>
                </c:pt>
                <c:pt idx="314">
                  <c:v>6.9998100000000001</c:v>
                </c:pt>
                <c:pt idx="315">
                  <c:v>6.7998099999999999</c:v>
                </c:pt>
                <c:pt idx="316">
                  <c:v>6.5998099999999997</c:v>
                </c:pt>
                <c:pt idx="317">
                  <c:v>6.3998100000000004</c:v>
                </c:pt>
                <c:pt idx="318">
                  <c:v>6.1998100000000003</c:v>
                </c:pt>
                <c:pt idx="319">
                  <c:v>5.9998100000000001</c:v>
                </c:pt>
                <c:pt idx="320">
                  <c:v>5.7998099999999999</c:v>
                </c:pt>
                <c:pt idx="321">
                  <c:v>5.5998099999999997</c:v>
                </c:pt>
                <c:pt idx="322">
                  <c:v>5.3998100000000004</c:v>
                </c:pt>
                <c:pt idx="323">
                  <c:v>5.1998100000000003</c:v>
                </c:pt>
                <c:pt idx="324">
                  <c:v>4.9998100000000001</c:v>
                </c:pt>
                <c:pt idx="325">
                  <c:v>4.7998099999999999</c:v>
                </c:pt>
                <c:pt idx="326">
                  <c:v>4.5998099999999997</c:v>
                </c:pt>
                <c:pt idx="327">
                  <c:v>4.3998100000000004</c:v>
                </c:pt>
                <c:pt idx="328">
                  <c:v>4.1998100000000003</c:v>
                </c:pt>
                <c:pt idx="329">
                  <c:v>3.9998100000000001</c:v>
                </c:pt>
                <c:pt idx="330">
                  <c:v>3.7998099999999999</c:v>
                </c:pt>
                <c:pt idx="331">
                  <c:v>3.5998100000000002</c:v>
                </c:pt>
                <c:pt idx="332">
                  <c:v>3.39981</c:v>
                </c:pt>
                <c:pt idx="333">
                  <c:v>3.1998099999999998</c:v>
                </c:pt>
                <c:pt idx="334">
                  <c:v>2.9998100000000001</c:v>
                </c:pt>
                <c:pt idx="335">
                  <c:v>2.7998099999999999</c:v>
                </c:pt>
                <c:pt idx="336">
                  <c:v>2.5998100000000002</c:v>
                </c:pt>
                <c:pt idx="337">
                  <c:v>2.39981</c:v>
                </c:pt>
                <c:pt idx="338">
                  <c:v>2.1998099999999998</c:v>
                </c:pt>
                <c:pt idx="339">
                  <c:v>1.9998100000000001</c:v>
                </c:pt>
                <c:pt idx="340">
                  <c:v>1.7998099999999999</c:v>
                </c:pt>
                <c:pt idx="341">
                  <c:v>1.59981</c:v>
                </c:pt>
                <c:pt idx="342">
                  <c:v>1.39981</c:v>
                </c:pt>
                <c:pt idx="343">
                  <c:v>1.19981</c:v>
                </c:pt>
                <c:pt idx="344">
                  <c:v>0.99981200000000003</c:v>
                </c:pt>
                <c:pt idx="345">
                  <c:v>0.79981199999999997</c:v>
                </c:pt>
                <c:pt idx="346">
                  <c:v>0.59981200000000001</c:v>
                </c:pt>
                <c:pt idx="347">
                  <c:v>0.399812</c:v>
                </c:pt>
                <c:pt idx="348">
                  <c:v>0.19981199999999999</c:v>
                </c:pt>
                <c:pt idx="349">
                  <c:v>-1.8810300000000001E-4</c:v>
                </c:pt>
                <c:pt idx="350">
                  <c:v>-0.200188</c:v>
                </c:pt>
                <c:pt idx="351">
                  <c:v>-0.40018799999999999</c:v>
                </c:pt>
                <c:pt idx="352">
                  <c:v>-0.60018800000000005</c:v>
                </c:pt>
                <c:pt idx="353">
                  <c:v>-0.80018800000000001</c:v>
                </c:pt>
                <c:pt idx="354">
                  <c:v>-1.0001899999999999</c:v>
                </c:pt>
                <c:pt idx="355">
                  <c:v>-1.2001900000000001</c:v>
                </c:pt>
                <c:pt idx="356">
                  <c:v>-1.40019</c:v>
                </c:pt>
                <c:pt idx="357">
                  <c:v>-1.60019</c:v>
                </c:pt>
                <c:pt idx="358">
                  <c:v>-1.80019</c:v>
                </c:pt>
                <c:pt idx="359">
                  <c:v>-2.0001899999999999</c:v>
                </c:pt>
                <c:pt idx="360">
                  <c:v>-2.2001900000000001</c:v>
                </c:pt>
                <c:pt idx="361">
                  <c:v>-2.4001899999999998</c:v>
                </c:pt>
                <c:pt idx="362">
                  <c:v>-2.60019</c:v>
                </c:pt>
                <c:pt idx="363">
                  <c:v>-2.8001900000000002</c:v>
                </c:pt>
                <c:pt idx="364">
                  <c:v>-3.0001899999999999</c:v>
                </c:pt>
                <c:pt idx="365">
                  <c:v>-3.2001900000000001</c:v>
                </c:pt>
                <c:pt idx="366">
                  <c:v>-3.4001899999999998</c:v>
                </c:pt>
                <c:pt idx="367">
                  <c:v>-3.60019</c:v>
                </c:pt>
                <c:pt idx="368">
                  <c:v>-3.8001900000000002</c:v>
                </c:pt>
                <c:pt idx="369">
                  <c:v>-4.0001899999999999</c:v>
                </c:pt>
                <c:pt idx="370">
                  <c:v>-4.2001900000000001</c:v>
                </c:pt>
                <c:pt idx="371">
                  <c:v>-4.4001900000000003</c:v>
                </c:pt>
                <c:pt idx="372">
                  <c:v>-4.6001899999999996</c:v>
                </c:pt>
                <c:pt idx="373">
                  <c:v>-4.8001899999999997</c:v>
                </c:pt>
                <c:pt idx="374">
                  <c:v>-5.0001899999999999</c:v>
                </c:pt>
                <c:pt idx="375">
                  <c:v>-5.2001900000000001</c:v>
                </c:pt>
                <c:pt idx="376">
                  <c:v>-5.4001900000000003</c:v>
                </c:pt>
                <c:pt idx="377">
                  <c:v>-5.6001899999999996</c:v>
                </c:pt>
                <c:pt idx="378">
                  <c:v>-5.8001899999999997</c:v>
                </c:pt>
                <c:pt idx="379">
                  <c:v>-6.0001899999999999</c:v>
                </c:pt>
                <c:pt idx="380">
                  <c:v>-6.2001900000000001</c:v>
                </c:pt>
                <c:pt idx="381">
                  <c:v>-6.4001900000000003</c:v>
                </c:pt>
                <c:pt idx="382">
                  <c:v>-6.6001899999999996</c:v>
                </c:pt>
                <c:pt idx="383">
                  <c:v>-6.8001899999999997</c:v>
                </c:pt>
                <c:pt idx="384">
                  <c:v>-7.0001899999999999</c:v>
                </c:pt>
                <c:pt idx="385">
                  <c:v>-7.2001900000000001</c:v>
                </c:pt>
                <c:pt idx="386">
                  <c:v>-7.4001900000000003</c:v>
                </c:pt>
                <c:pt idx="387">
                  <c:v>-7.6001899999999996</c:v>
                </c:pt>
                <c:pt idx="388">
                  <c:v>-7.8001899999999997</c:v>
                </c:pt>
                <c:pt idx="389">
                  <c:v>-8.0001899999999999</c:v>
                </c:pt>
                <c:pt idx="390">
                  <c:v>-8.2001899999999992</c:v>
                </c:pt>
                <c:pt idx="391">
                  <c:v>-8.4001900000000003</c:v>
                </c:pt>
                <c:pt idx="392">
                  <c:v>-8.6001899999999996</c:v>
                </c:pt>
                <c:pt idx="393">
                  <c:v>-8.8001900000000006</c:v>
                </c:pt>
                <c:pt idx="394">
                  <c:v>-9.0001899999999999</c:v>
                </c:pt>
                <c:pt idx="395">
                  <c:v>-9.2001899999999992</c:v>
                </c:pt>
                <c:pt idx="396">
                  <c:v>-9.4001900000000003</c:v>
                </c:pt>
                <c:pt idx="397">
                  <c:v>-9.6001899999999996</c:v>
                </c:pt>
                <c:pt idx="398">
                  <c:v>-9.8001900000000006</c:v>
                </c:pt>
                <c:pt idx="399">
                  <c:v>-10.0002</c:v>
                </c:pt>
                <c:pt idx="400">
                  <c:v>-9.7501899999999999</c:v>
                </c:pt>
                <c:pt idx="401">
                  <c:v>-9.5001899999999999</c:v>
                </c:pt>
                <c:pt idx="402">
                  <c:v>-9.2501899999999999</c:v>
                </c:pt>
                <c:pt idx="403">
                  <c:v>-9.0001899999999999</c:v>
                </c:pt>
                <c:pt idx="404">
                  <c:v>-8.7501899999999999</c:v>
                </c:pt>
                <c:pt idx="405">
                  <c:v>-8.5001899999999999</c:v>
                </c:pt>
                <c:pt idx="406">
                  <c:v>-8.2501899999999999</c:v>
                </c:pt>
                <c:pt idx="407">
                  <c:v>-8.0001899999999999</c:v>
                </c:pt>
                <c:pt idx="408">
                  <c:v>-7.7501899999999999</c:v>
                </c:pt>
                <c:pt idx="409">
                  <c:v>-7.5001899999999999</c:v>
                </c:pt>
                <c:pt idx="410">
                  <c:v>-7.2501899999999999</c:v>
                </c:pt>
                <c:pt idx="411">
                  <c:v>-7.0001899999999999</c:v>
                </c:pt>
                <c:pt idx="412">
                  <c:v>-6.7501899999999999</c:v>
                </c:pt>
                <c:pt idx="413">
                  <c:v>-6.5001899999999999</c:v>
                </c:pt>
                <c:pt idx="414">
                  <c:v>-6.2501899999999999</c:v>
                </c:pt>
                <c:pt idx="415">
                  <c:v>-6.0001899999999999</c:v>
                </c:pt>
                <c:pt idx="416">
                  <c:v>-5.7501899999999999</c:v>
                </c:pt>
                <c:pt idx="417">
                  <c:v>-5.5001899999999999</c:v>
                </c:pt>
                <c:pt idx="418">
                  <c:v>-5.2501899999999999</c:v>
                </c:pt>
                <c:pt idx="419">
                  <c:v>-5.0001899999999999</c:v>
                </c:pt>
                <c:pt idx="420">
                  <c:v>-4.7501899999999999</c:v>
                </c:pt>
                <c:pt idx="421">
                  <c:v>-4.5001899999999999</c:v>
                </c:pt>
                <c:pt idx="422">
                  <c:v>-4.2501899999999999</c:v>
                </c:pt>
                <c:pt idx="423">
                  <c:v>-4.0001899999999999</c:v>
                </c:pt>
                <c:pt idx="424">
                  <c:v>-3.7501899999999999</c:v>
                </c:pt>
                <c:pt idx="425">
                  <c:v>-3.5001899999999999</c:v>
                </c:pt>
                <c:pt idx="426">
                  <c:v>-3.2501899999999999</c:v>
                </c:pt>
                <c:pt idx="427">
                  <c:v>-3.0001899999999999</c:v>
                </c:pt>
                <c:pt idx="428">
                  <c:v>-2.7501899999999999</c:v>
                </c:pt>
                <c:pt idx="429">
                  <c:v>-2.5001899999999999</c:v>
                </c:pt>
                <c:pt idx="430">
                  <c:v>-2.2501899999999999</c:v>
                </c:pt>
                <c:pt idx="431">
                  <c:v>-2.0001899999999999</c:v>
                </c:pt>
                <c:pt idx="432">
                  <c:v>-1.7501899999999999</c:v>
                </c:pt>
                <c:pt idx="433">
                  <c:v>-1.5001899999999999</c:v>
                </c:pt>
                <c:pt idx="434">
                  <c:v>-1.2501899999999999</c:v>
                </c:pt>
                <c:pt idx="435">
                  <c:v>-1.0001899999999999</c:v>
                </c:pt>
                <c:pt idx="436">
                  <c:v>-0.75018799999999997</c:v>
                </c:pt>
                <c:pt idx="437">
                  <c:v>-0.50018799999999997</c:v>
                </c:pt>
                <c:pt idx="438">
                  <c:v>-0.25018800000000002</c:v>
                </c:pt>
                <c:pt idx="439">
                  <c:v>-1.8810300000000001E-4</c:v>
                </c:pt>
                <c:pt idx="440">
                  <c:v>0.24981200000000001</c:v>
                </c:pt>
                <c:pt idx="441">
                  <c:v>0.49981199999999998</c:v>
                </c:pt>
                <c:pt idx="442">
                  <c:v>0.74981200000000003</c:v>
                </c:pt>
                <c:pt idx="443">
                  <c:v>0.99981200000000003</c:v>
                </c:pt>
                <c:pt idx="444">
                  <c:v>1.2498100000000001</c:v>
                </c:pt>
                <c:pt idx="445">
                  <c:v>1.4998100000000001</c:v>
                </c:pt>
                <c:pt idx="446">
                  <c:v>1.7498100000000001</c:v>
                </c:pt>
                <c:pt idx="447">
                  <c:v>1.9998100000000001</c:v>
                </c:pt>
                <c:pt idx="448">
                  <c:v>2.2498100000000001</c:v>
                </c:pt>
                <c:pt idx="449">
                  <c:v>2.4998100000000001</c:v>
                </c:pt>
                <c:pt idx="450">
                  <c:v>2.7498100000000001</c:v>
                </c:pt>
                <c:pt idx="451">
                  <c:v>2.9998100000000001</c:v>
                </c:pt>
                <c:pt idx="452">
                  <c:v>3.2498100000000001</c:v>
                </c:pt>
                <c:pt idx="453">
                  <c:v>3.4998100000000001</c:v>
                </c:pt>
                <c:pt idx="454">
                  <c:v>3.7498100000000001</c:v>
                </c:pt>
                <c:pt idx="455">
                  <c:v>3.9998100000000001</c:v>
                </c:pt>
                <c:pt idx="456">
                  <c:v>4.2498100000000001</c:v>
                </c:pt>
                <c:pt idx="457">
                  <c:v>4.4998100000000001</c:v>
                </c:pt>
                <c:pt idx="458">
                  <c:v>4.7498100000000001</c:v>
                </c:pt>
                <c:pt idx="459">
                  <c:v>4.9998100000000001</c:v>
                </c:pt>
                <c:pt idx="460">
                  <c:v>5.2498100000000001</c:v>
                </c:pt>
                <c:pt idx="461">
                  <c:v>5.4998100000000001</c:v>
                </c:pt>
                <c:pt idx="462">
                  <c:v>5.7498100000000001</c:v>
                </c:pt>
                <c:pt idx="463">
                  <c:v>5.9998100000000001</c:v>
                </c:pt>
                <c:pt idx="464">
                  <c:v>6.2498100000000001</c:v>
                </c:pt>
                <c:pt idx="465">
                  <c:v>6.4998100000000001</c:v>
                </c:pt>
                <c:pt idx="466">
                  <c:v>6.7498100000000001</c:v>
                </c:pt>
                <c:pt idx="467">
                  <c:v>6.9998100000000001</c:v>
                </c:pt>
                <c:pt idx="468">
                  <c:v>7.2498100000000001</c:v>
                </c:pt>
                <c:pt idx="469">
                  <c:v>7.4998100000000001</c:v>
                </c:pt>
                <c:pt idx="470">
                  <c:v>7.7498100000000001</c:v>
                </c:pt>
                <c:pt idx="471">
                  <c:v>7.9998100000000001</c:v>
                </c:pt>
                <c:pt idx="472">
                  <c:v>8.2498100000000001</c:v>
                </c:pt>
                <c:pt idx="473">
                  <c:v>8.4998100000000001</c:v>
                </c:pt>
                <c:pt idx="474">
                  <c:v>8.7498100000000001</c:v>
                </c:pt>
                <c:pt idx="475">
                  <c:v>8.9998100000000001</c:v>
                </c:pt>
                <c:pt idx="476">
                  <c:v>9.2498100000000001</c:v>
                </c:pt>
                <c:pt idx="477">
                  <c:v>9.4998100000000001</c:v>
                </c:pt>
                <c:pt idx="478">
                  <c:v>9.7498100000000001</c:v>
                </c:pt>
                <c:pt idx="479">
                  <c:v>9.9998100000000001</c:v>
                </c:pt>
                <c:pt idx="480">
                  <c:v>10.2498</c:v>
                </c:pt>
                <c:pt idx="481">
                  <c:v>10.4998</c:v>
                </c:pt>
                <c:pt idx="482">
                  <c:v>10.7498</c:v>
                </c:pt>
                <c:pt idx="483">
                  <c:v>10.9998</c:v>
                </c:pt>
                <c:pt idx="484">
                  <c:v>11.2498</c:v>
                </c:pt>
                <c:pt idx="485">
                  <c:v>11.4998</c:v>
                </c:pt>
                <c:pt idx="486">
                  <c:v>11.7498</c:v>
                </c:pt>
                <c:pt idx="487">
                  <c:v>11.9998</c:v>
                </c:pt>
                <c:pt idx="488">
                  <c:v>12.2498</c:v>
                </c:pt>
                <c:pt idx="489">
                  <c:v>12.4998</c:v>
                </c:pt>
                <c:pt idx="490">
                  <c:v>12.7498</c:v>
                </c:pt>
                <c:pt idx="491">
                  <c:v>12.9998</c:v>
                </c:pt>
                <c:pt idx="492">
                  <c:v>13.2498</c:v>
                </c:pt>
                <c:pt idx="493">
                  <c:v>13.4998</c:v>
                </c:pt>
                <c:pt idx="494">
                  <c:v>13.7498</c:v>
                </c:pt>
                <c:pt idx="495">
                  <c:v>13.9998</c:v>
                </c:pt>
                <c:pt idx="496">
                  <c:v>14.2498</c:v>
                </c:pt>
                <c:pt idx="497">
                  <c:v>14.4998</c:v>
                </c:pt>
                <c:pt idx="498">
                  <c:v>14.7498</c:v>
                </c:pt>
                <c:pt idx="499">
                  <c:v>14.9998</c:v>
                </c:pt>
                <c:pt idx="500">
                  <c:v>14.6998</c:v>
                </c:pt>
                <c:pt idx="501">
                  <c:v>14.399800000000001</c:v>
                </c:pt>
                <c:pt idx="502">
                  <c:v>14.0998</c:v>
                </c:pt>
                <c:pt idx="503">
                  <c:v>13.799799999999999</c:v>
                </c:pt>
                <c:pt idx="504">
                  <c:v>13.4998</c:v>
                </c:pt>
                <c:pt idx="505">
                  <c:v>13.1998</c:v>
                </c:pt>
                <c:pt idx="506">
                  <c:v>12.899800000000001</c:v>
                </c:pt>
                <c:pt idx="507">
                  <c:v>12.5998</c:v>
                </c:pt>
                <c:pt idx="508">
                  <c:v>12.299799999999999</c:v>
                </c:pt>
                <c:pt idx="509">
                  <c:v>11.9998</c:v>
                </c:pt>
                <c:pt idx="510">
                  <c:v>11.6998</c:v>
                </c:pt>
                <c:pt idx="511">
                  <c:v>11.399800000000001</c:v>
                </c:pt>
                <c:pt idx="512">
                  <c:v>11.0998</c:v>
                </c:pt>
                <c:pt idx="513">
                  <c:v>10.799799999999999</c:v>
                </c:pt>
                <c:pt idx="514">
                  <c:v>10.4998</c:v>
                </c:pt>
                <c:pt idx="515">
                  <c:v>10.1998</c:v>
                </c:pt>
                <c:pt idx="516">
                  <c:v>9.8998100000000004</c:v>
                </c:pt>
                <c:pt idx="517">
                  <c:v>9.5998099999999997</c:v>
                </c:pt>
                <c:pt idx="518">
                  <c:v>9.2998100000000008</c:v>
                </c:pt>
                <c:pt idx="519">
                  <c:v>8.9998100000000001</c:v>
                </c:pt>
                <c:pt idx="520">
                  <c:v>8.6998099999999994</c:v>
                </c:pt>
                <c:pt idx="521">
                  <c:v>8.3998100000000004</c:v>
                </c:pt>
                <c:pt idx="522">
                  <c:v>8.0998099999999997</c:v>
                </c:pt>
                <c:pt idx="523">
                  <c:v>7.7998099999999999</c:v>
                </c:pt>
                <c:pt idx="524">
                  <c:v>7.4998100000000001</c:v>
                </c:pt>
                <c:pt idx="525">
                  <c:v>7.1998100000000003</c:v>
                </c:pt>
                <c:pt idx="526">
                  <c:v>6.8998100000000004</c:v>
                </c:pt>
                <c:pt idx="527">
                  <c:v>6.5998099999999997</c:v>
                </c:pt>
                <c:pt idx="528">
                  <c:v>6.2998099999999999</c:v>
                </c:pt>
                <c:pt idx="529">
                  <c:v>5.9998100000000001</c:v>
                </c:pt>
                <c:pt idx="530">
                  <c:v>5.6998100000000003</c:v>
                </c:pt>
                <c:pt idx="531">
                  <c:v>5.3998100000000004</c:v>
                </c:pt>
                <c:pt idx="532">
                  <c:v>5.0998099999999997</c:v>
                </c:pt>
                <c:pt idx="533">
                  <c:v>4.7998099999999999</c:v>
                </c:pt>
                <c:pt idx="534">
                  <c:v>4.4998100000000001</c:v>
                </c:pt>
                <c:pt idx="535">
                  <c:v>4.1998100000000003</c:v>
                </c:pt>
                <c:pt idx="536">
                  <c:v>3.89981</c:v>
                </c:pt>
                <c:pt idx="537">
                  <c:v>3.5998100000000002</c:v>
                </c:pt>
                <c:pt idx="538">
                  <c:v>3.2998099999999999</c:v>
                </c:pt>
                <c:pt idx="539">
                  <c:v>2.9998100000000001</c:v>
                </c:pt>
                <c:pt idx="540">
                  <c:v>2.6998099999999998</c:v>
                </c:pt>
                <c:pt idx="541">
                  <c:v>2.39981</c:v>
                </c:pt>
                <c:pt idx="542">
                  <c:v>2.0998100000000002</c:v>
                </c:pt>
                <c:pt idx="543">
                  <c:v>1.7998099999999999</c:v>
                </c:pt>
                <c:pt idx="544">
                  <c:v>1.4998100000000001</c:v>
                </c:pt>
                <c:pt idx="545">
                  <c:v>1.19981</c:v>
                </c:pt>
                <c:pt idx="546">
                  <c:v>0.89981199999999995</c:v>
                </c:pt>
                <c:pt idx="547">
                  <c:v>0.59981200000000001</c:v>
                </c:pt>
                <c:pt idx="548">
                  <c:v>0.29981200000000002</c:v>
                </c:pt>
                <c:pt idx="549">
                  <c:v>-1.8810300000000001E-4</c:v>
                </c:pt>
                <c:pt idx="550">
                  <c:v>-0.30018800000000001</c:v>
                </c:pt>
                <c:pt idx="551">
                  <c:v>-0.60018800000000005</c:v>
                </c:pt>
                <c:pt idx="552">
                  <c:v>-0.90018799999999999</c:v>
                </c:pt>
                <c:pt idx="553">
                  <c:v>-1.2001900000000001</c:v>
                </c:pt>
                <c:pt idx="554">
                  <c:v>-1.5001899999999999</c:v>
                </c:pt>
                <c:pt idx="555">
                  <c:v>-1.80019</c:v>
                </c:pt>
                <c:pt idx="556">
                  <c:v>-2.10019</c:v>
                </c:pt>
                <c:pt idx="557">
                  <c:v>-2.4001899999999998</c:v>
                </c:pt>
                <c:pt idx="558">
                  <c:v>-2.7001900000000001</c:v>
                </c:pt>
                <c:pt idx="559">
                  <c:v>-3.0001899999999999</c:v>
                </c:pt>
                <c:pt idx="560">
                  <c:v>-3.3001900000000002</c:v>
                </c:pt>
                <c:pt idx="561">
                  <c:v>-3.60019</c:v>
                </c:pt>
                <c:pt idx="562">
                  <c:v>-3.9001899999999998</c:v>
                </c:pt>
                <c:pt idx="563">
                  <c:v>-4.2001900000000001</c:v>
                </c:pt>
                <c:pt idx="564">
                  <c:v>-4.5001899999999999</c:v>
                </c:pt>
                <c:pt idx="565">
                  <c:v>-4.8001899999999997</c:v>
                </c:pt>
                <c:pt idx="566">
                  <c:v>-5.1001899999999996</c:v>
                </c:pt>
                <c:pt idx="567">
                  <c:v>-5.4001900000000003</c:v>
                </c:pt>
                <c:pt idx="568">
                  <c:v>-5.7001900000000001</c:v>
                </c:pt>
                <c:pt idx="569">
                  <c:v>-6.0001899999999999</c:v>
                </c:pt>
                <c:pt idx="570">
                  <c:v>-6.3001899999999997</c:v>
                </c:pt>
                <c:pt idx="571">
                  <c:v>-6.6001899999999996</c:v>
                </c:pt>
                <c:pt idx="572">
                  <c:v>-6.9001900000000003</c:v>
                </c:pt>
                <c:pt idx="573">
                  <c:v>-7.2001900000000001</c:v>
                </c:pt>
                <c:pt idx="574">
                  <c:v>-7.5001899999999999</c:v>
                </c:pt>
                <c:pt idx="575">
                  <c:v>-7.8001899999999997</c:v>
                </c:pt>
                <c:pt idx="576">
                  <c:v>-8.1001899999999996</c:v>
                </c:pt>
                <c:pt idx="577">
                  <c:v>-8.4001900000000003</c:v>
                </c:pt>
                <c:pt idx="578">
                  <c:v>-8.7001899999999992</c:v>
                </c:pt>
                <c:pt idx="579">
                  <c:v>-9.0001899999999999</c:v>
                </c:pt>
                <c:pt idx="580">
                  <c:v>-9.3001900000000006</c:v>
                </c:pt>
                <c:pt idx="581">
                  <c:v>-9.6001899999999996</c:v>
                </c:pt>
                <c:pt idx="582">
                  <c:v>-9.9001900000000003</c:v>
                </c:pt>
                <c:pt idx="583">
                  <c:v>-10.200200000000001</c:v>
                </c:pt>
                <c:pt idx="584">
                  <c:v>-10.5002</c:v>
                </c:pt>
                <c:pt idx="585">
                  <c:v>-10.8002</c:v>
                </c:pt>
                <c:pt idx="586">
                  <c:v>-11.100199999999999</c:v>
                </c:pt>
                <c:pt idx="587">
                  <c:v>-11.4002</c:v>
                </c:pt>
                <c:pt idx="588">
                  <c:v>-11.700200000000001</c:v>
                </c:pt>
                <c:pt idx="589">
                  <c:v>-12.0002</c:v>
                </c:pt>
                <c:pt idx="590">
                  <c:v>-12.3002</c:v>
                </c:pt>
                <c:pt idx="591">
                  <c:v>-12.600199999999999</c:v>
                </c:pt>
                <c:pt idx="592">
                  <c:v>-12.9002</c:v>
                </c:pt>
                <c:pt idx="593">
                  <c:v>-13.200200000000001</c:v>
                </c:pt>
                <c:pt idx="594">
                  <c:v>-13.5002</c:v>
                </c:pt>
                <c:pt idx="595">
                  <c:v>-13.8002</c:v>
                </c:pt>
                <c:pt idx="596">
                  <c:v>-14.100199999999999</c:v>
                </c:pt>
                <c:pt idx="597">
                  <c:v>-14.4002</c:v>
                </c:pt>
                <c:pt idx="598">
                  <c:v>-14.700200000000001</c:v>
                </c:pt>
                <c:pt idx="599">
                  <c:v>-15.0002</c:v>
                </c:pt>
                <c:pt idx="600">
                  <c:v>-14.6502</c:v>
                </c:pt>
                <c:pt idx="601">
                  <c:v>-14.3002</c:v>
                </c:pt>
                <c:pt idx="602">
                  <c:v>-13.950200000000001</c:v>
                </c:pt>
                <c:pt idx="603">
                  <c:v>-13.600199999999999</c:v>
                </c:pt>
                <c:pt idx="604">
                  <c:v>-13.2502</c:v>
                </c:pt>
                <c:pt idx="605">
                  <c:v>-12.9002</c:v>
                </c:pt>
                <c:pt idx="606">
                  <c:v>-12.5502</c:v>
                </c:pt>
                <c:pt idx="607">
                  <c:v>-12.200200000000001</c:v>
                </c:pt>
                <c:pt idx="608">
                  <c:v>-11.850199999999999</c:v>
                </c:pt>
                <c:pt idx="609">
                  <c:v>-11.5002</c:v>
                </c:pt>
                <c:pt idx="610">
                  <c:v>-11.1502</c:v>
                </c:pt>
                <c:pt idx="611">
                  <c:v>-10.8002</c:v>
                </c:pt>
                <c:pt idx="612">
                  <c:v>-10.450200000000001</c:v>
                </c:pt>
                <c:pt idx="613">
                  <c:v>-10.100199999999999</c:v>
                </c:pt>
                <c:pt idx="614">
                  <c:v>-9.7501899999999999</c:v>
                </c:pt>
                <c:pt idx="615">
                  <c:v>-9.4001900000000003</c:v>
                </c:pt>
                <c:pt idx="616">
                  <c:v>-9.0501900000000006</c:v>
                </c:pt>
                <c:pt idx="617">
                  <c:v>-8.7001899999999992</c:v>
                </c:pt>
                <c:pt idx="618">
                  <c:v>-8.3501899999999996</c:v>
                </c:pt>
                <c:pt idx="619">
                  <c:v>-8.0001899999999999</c:v>
                </c:pt>
                <c:pt idx="620">
                  <c:v>-7.6501900000000003</c:v>
                </c:pt>
                <c:pt idx="621">
                  <c:v>-7.3001899999999997</c:v>
                </c:pt>
                <c:pt idx="622">
                  <c:v>-6.9501900000000001</c:v>
                </c:pt>
                <c:pt idx="623">
                  <c:v>-6.6001899999999996</c:v>
                </c:pt>
                <c:pt idx="624">
                  <c:v>-6.2501899999999999</c:v>
                </c:pt>
                <c:pt idx="625">
                  <c:v>-5.9001900000000003</c:v>
                </c:pt>
                <c:pt idx="626">
                  <c:v>-5.5501899999999997</c:v>
                </c:pt>
                <c:pt idx="627">
                  <c:v>-5.2001900000000001</c:v>
                </c:pt>
                <c:pt idx="628">
                  <c:v>-4.8501899999999996</c:v>
                </c:pt>
                <c:pt idx="629">
                  <c:v>-4.5001899999999999</c:v>
                </c:pt>
                <c:pt idx="630">
                  <c:v>-4.1501900000000003</c:v>
                </c:pt>
                <c:pt idx="631">
                  <c:v>-3.8001900000000002</c:v>
                </c:pt>
                <c:pt idx="632">
                  <c:v>-3.4501900000000001</c:v>
                </c:pt>
                <c:pt idx="633">
                  <c:v>-3.10019</c:v>
                </c:pt>
                <c:pt idx="634">
                  <c:v>-2.7501899999999999</c:v>
                </c:pt>
                <c:pt idx="635">
                  <c:v>-2.4001899999999998</c:v>
                </c:pt>
                <c:pt idx="636">
                  <c:v>-2.0501900000000002</c:v>
                </c:pt>
                <c:pt idx="637">
                  <c:v>-1.7001900000000001</c:v>
                </c:pt>
                <c:pt idx="638">
                  <c:v>-1.35019</c:v>
                </c:pt>
                <c:pt idx="639">
                  <c:v>-1.0001899999999999</c:v>
                </c:pt>
                <c:pt idx="640">
                  <c:v>-0.65018799999999999</c:v>
                </c:pt>
                <c:pt idx="641">
                  <c:v>-0.30018800000000001</c:v>
                </c:pt>
                <c:pt idx="642">
                  <c:v>4.9811899999999999E-2</c:v>
                </c:pt>
                <c:pt idx="643">
                  <c:v>0.399812</c:v>
                </c:pt>
                <c:pt idx="644">
                  <c:v>0.74981200000000003</c:v>
                </c:pt>
                <c:pt idx="645">
                  <c:v>1.09981</c:v>
                </c:pt>
                <c:pt idx="646">
                  <c:v>1.44981</c:v>
                </c:pt>
                <c:pt idx="647">
                  <c:v>1.7998099999999999</c:v>
                </c:pt>
                <c:pt idx="648">
                  <c:v>2.14981</c:v>
                </c:pt>
                <c:pt idx="649">
                  <c:v>2.4998100000000001</c:v>
                </c:pt>
                <c:pt idx="650">
                  <c:v>2.8498100000000002</c:v>
                </c:pt>
                <c:pt idx="651">
                  <c:v>3.1998099999999998</c:v>
                </c:pt>
                <c:pt idx="652">
                  <c:v>3.5498099999999999</c:v>
                </c:pt>
                <c:pt idx="653">
                  <c:v>3.89981</c:v>
                </c:pt>
                <c:pt idx="654">
                  <c:v>4.2498100000000001</c:v>
                </c:pt>
                <c:pt idx="655">
                  <c:v>4.5998099999999997</c:v>
                </c:pt>
                <c:pt idx="656">
                  <c:v>4.9498100000000003</c:v>
                </c:pt>
                <c:pt idx="657">
                  <c:v>5.2998099999999999</c:v>
                </c:pt>
                <c:pt idx="658">
                  <c:v>5.6498100000000004</c:v>
                </c:pt>
                <c:pt idx="659">
                  <c:v>5.9998100000000001</c:v>
                </c:pt>
                <c:pt idx="660">
                  <c:v>6.3498099999999997</c:v>
                </c:pt>
                <c:pt idx="661">
                  <c:v>6.6998100000000003</c:v>
                </c:pt>
                <c:pt idx="662">
                  <c:v>7.0498099999999999</c:v>
                </c:pt>
                <c:pt idx="663">
                  <c:v>7.3998100000000004</c:v>
                </c:pt>
                <c:pt idx="664">
                  <c:v>7.7498100000000001</c:v>
                </c:pt>
                <c:pt idx="665">
                  <c:v>8.0998099999999997</c:v>
                </c:pt>
                <c:pt idx="666">
                  <c:v>8.4498099999999994</c:v>
                </c:pt>
                <c:pt idx="667">
                  <c:v>8.7998100000000008</c:v>
                </c:pt>
                <c:pt idx="668">
                  <c:v>9.1498100000000004</c:v>
                </c:pt>
                <c:pt idx="669">
                  <c:v>9.4998100000000001</c:v>
                </c:pt>
                <c:pt idx="670">
                  <c:v>9.8498099999999997</c:v>
                </c:pt>
                <c:pt idx="671">
                  <c:v>10.1998</c:v>
                </c:pt>
                <c:pt idx="672">
                  <c:v>10.549799999999999</c:v>
                </c:pt>
                <c:pt idx="673">
                  <c:v>10.899800000000001</c:v>
                </c:pt>
                <c:pt idx="674">
                  <c:v>11.2498</c:v>
                </c:pt>
                <c:pt idx="675">
                  <c:v>11.5998</c:v>
                </c:pt>
                <c:pt idx="676">
                  <c:v>11.9498</c:v>
                </c:pt>
                <c:pt idx="677">
                  <c:v>12.299799999999999</c:v>
                </c:pt>
                <c:pt idx="678">
                  <c:v>12.649800000000001</c:v>
                </c:pt>
                <c:pt idx="679">
                  <c:v>12.9998</c:v>
                </c:pt>
                <c:pt idx="680">
                  <c:v>13.3498</c:v>
                </c:pt>
                <c:pt idx="681">
                  <c:v>13.6998</c:v>
                </c:pt>
                <c:pt idx="682">
                  <c:v>14.049799999999999</c:v>
                </c:pt>
                <c:pt idx="683">
                  <c:v>14.399800000000001</c:v>
                </c:pt>
                <c:pt idx="684">
                  <c:v>14.7498</c:v>
                </c:pt>
                <c:pt idx="685">
                  <c:v>15.0998</c:v>
                </c:pt>
                <c:pt idx="686">
                  <c:v>15.4498</c:v>
                </c:pt>
                <c:pt idx="687">
                  <c:v>15.799799999999999</c:v>
                </c:pt>
                <c:pt idx="688">
                  <c:v>16.149799999999999</c:v>
                </c:pt>
                <c:pt idx="689">
                  <c:v>16.4998</c:v>
                </c:pt>
                <c:pt idx="690">
                  <c:v>16.849799999999998</c:v>
                </c:pt>
                <c:pt idx="691">
                  <c:v>17.1998</c:v>
                </c:pt>
                <c:pt idx="692">
                  <c:v>17.549800000000001</c:v>
                </c:pt>
                <c:pt idx="693">
                  <c:v>17.899799999999999</c:v>
                </c:pt>
                <c:pt idx="694">
                  <c:v>18.2498</c:v>
                </c:pt>
                <c:pt idx="695">
                  <c:v>18.599799999999998</c:v>
                </c:pt>
                <c:pt idx="696">
                  <c:v>18.9498</c:v>
                </c:pt>
                <c:pt idx="697">
                  <c:v>19.299800000000001</c:v>
                </c:pt>
                <c:pt idx="698">
                  <c:v>19.649799999999999</c:v>
                </c:pt>
                <c:pt idx="699">
                  <c:v>19.9998</c:v>
                </c:pt>
                <c:pt idx="700">
                  <c:v>19.599799999999998</c:v>
                </c:pt>
                <c:pt idx="701">
                  <c:v>19.1998</c:v>
                </c:pt>
                <c:pt idx="702">
                  <c:v>18.799800000000001</c:v>
                </c:pt>
                <c:pt idx="703">
                  <c:v>18.399799999999999</c:v>
                </c:pt>
                <c:pt idx="704">
                  <c:v>17.9998</c:v>
                </c:pt>
                <c:pt idx="705">
                  <c:v>17.599799999999998</c:v>
                </c:pt>
                <c:pt idx="706">
                  <c:v>17.1998</c:v>
                </c:pt>
                <c:pt idx="707">
                  <c:v>16.799800000000001</c:v>
                </c:pt>
                <c:pt idx="708">
                  <c:v>16.399799999999999</c:v>
                </c:pt>
                <c:pt idx="709">
                  <c:v>15.9998</c:v>
                </c:pt>
                <c:pt idx="710">
                  <c:v>15.5998</c:v>
                </c:pt>
                <c:pt idx="711">
                  <c:v>15.1998</c:v>
                </c:pt>
                <c:pt idx="712">
                  <c:v>14.799799999999999</c:v>
                </c:pt>
                <c:pt idx="713">
                  <c:v>14.399800000000001</c:v>
                </c:pt>
                <c:pt idx="714">
                  <c:v>13.9998</c:v>
                </c:pt>
                <c:pt idx="715">
                  <c:v>13.5998</c:v>
                </c:pt>
                <c:pt idx="716">
                  <c:v>13.1998</c:v>
                </c:pt>
                <c:pt idx="717">
                  <c:v>12.799799999999999</c:v>
                </c:pt>
                <c:pt idx="718">
                  <c:v>12.399800000000001</c:v>
                </c:pt>
                <c:pt idx="719">
                  <c:v>11.9998</c:v>
                </c:pt>
                <c:pt idx="720">
                  <c:v>11.5998</c:v>
                </c:pt>
                <c:pt idx="721">
                  <c:v>11.1998</c:v>
                </c:pt>
                <c:pt idx="722">
                  <c:v>10.799799999999999</c:v>
                </c:pt>
                <c:pt idx="723">
                  <c:v>10.399800000000001</c:v>
                </c:pt>
                <c:pt idx="724">
                  <c:v>9.9998100000000001</c:v>
                </c:pt>
                <c:pt idx="725">
                  <c:v>9.5998099999999997</c:v>
                </c:pt>
                <c:pt idx="726">
                  <c:v>9.1998099999999994</c:v>
                </c:pt>
                <c:pt idx="727">
                  <c:v>8.7998100000000008</c:v>
                </c:pt>
                <c:pt idx="728">
                  <c:v>8.3998100000000004</c:v>
                </c:pt>
                <c:pt idx="729">
                  <c:v>7.9998100000000001</c:v>
                </c:pt>
                <c:pt idx="730">
                  <c:v>7.5998099999999997</c:v>
                </c:pt>
                <c:pt idx="731">
                  <c:v>7.1998100000000003</c:v>
                </c:pt>
                <c:pt idx="732">
                  <c:v>6.7998099999999999</c:v>
                </c:pt>
                <c:pt idx="733">
                  <c:v>6.3998100000000004</c:v>
                </c:pt>
                <c:pt idx="734">
                  <c:v>5.9998100000000001</c:v>
                </c:pt>
                <c:pt idx="735">
                  <c:v>5.5998099999999997</c:v>
                </c:pt>
                <c:pt idx="736">
                  <c:v>5.1998100000000003</c:v>
                </c:pt>
                <c:pt idx="737">
                  <c:v>4.7998099999999999</c:v>
                </c:pt>
                <c:pt idx="738">
                  <c:v>4.3998100000000004</c:v>
                </c:pt>
                <c:pt idx="739">
                  <c:v>3.9998100000000001</c:v>
                </c:pt>
                <c:pt idx="740">
                  <c:v>3.5998100000000002</c:v>
                </c:pt>
                <c:pt idx="741">
                  <c:v>3.1998099999999998</c:v>
                </c:pt>
                <c:pt idx="742">
                  <c:v>2.7998099999999999</c:v>
                </c:pt>
                <c:pt idx="743">
                  <c:v>2.39981</c:v>
                </c:pt>
                <c:pt idx="744">
                  <c:v>1.9998100000000001</c:v>
                </c:pt>
                <c:pt idx="745">
                  <c:v>1.59981</c:v>
                </c:pt>
                <c:pt idx="746">
                  <c:v>1.19981</c:v>
                </c:pt>
                <c:pt idx="747">
                  <c:v>0.79981199999999997</c:v>
                </c:pt>
                <c:pt idx="748">
                  <c:v>0.399812</c:v>
                </c:pt>
                <c:pt idx="749">
                  <c:v>-1.8810300000000001E-4</c:v>
                </c:pt>
                <c:pt idx="750">
                  <c:v>-0.40018799999999999</c:v>
                </c:pt>
                <c:pt idx="751">
                  <c:v>-0.80018800000000001</c:v>
                </c:pt>
                <c:pt idx="752">
                  <c:v>-1.2001900000000001</c:v>
                </c:pt>
                <c:pt idx="753">
                  <c:v>-1.60019</c:v>
                </c:pt>
                <c:pt idx="754">
                  <c:v>-2.0001899999999999</c:v>
                </c:pt>
                <c:pt idx="755">
                  <c:v>-2.4001899999999998</c:v>
                </c:pt>
                <c:pt idx="756">
                  <c:v>-2.8001900000000002</c:v>
                </c:pt>
                <c:pt idx="757">
                  <c:v>-3.2001900000000001</c:v>
                </c:pt>
                <c:pt idx="758">
                  <c:v>-3.60019</c:v>
                </c:pt>
                <c:pt idx="759">
                  <c:v>-4.0001899999999999</c:v>
                </c:pt>
                <c:pt idx="760">
                  <c:v>-4.4001900000000003</c:v>
                </c:pt>
                <c:pt idx="761">
                  <c:v>-4.8001899999999997</c:v>
                </c:pt>
                <c:pt idx="762">
                  <c:v>-5.2001900000000001</c:v>
                </c:pt>
                <c:pt idx="763">
                  <c:v>-5.6001899999999996</c:v>
                </c:pt>
                <c:pt idx="764">
                  <c:v>-6.0001899999999999</c:v>
                </c:pt>
                <c:pt idx="765">
                  <c:v>-6.4001900000000003</c:v>
                </c:pt>
                <c:pt idx="766">
                  <c:v>-6.8001899999999997</c:v>
                </c:pt>
                <c:pt idx="767">
                  <c:v>-7.2001900000000001</c:v>
                </c:pt>
                <c:pt idx="768">
                  <c:v>-7.6001899999999996</c:v>
                </c:pt>
                <c:pt idx="769">
                  <c:v>-8.0001899999999999</c:v>
                </c:pt>
                <c:pt idx="770">
                  <c:v>-8.4001900000000003</c:v>
                </c:pt>
                <c:pt idx="771">
                  <c:v>-8.8001900000000006</c:v>
                </c:pt>
                <c:pt idx="772">
                  <c:v>-9.2001899999999992</c:v>
                </c:pt>
                <c:pt idx="773">
                  <c:v>-9.6001899999999996</c:v>
                </c:pt>
                <c:pt idx="774">
                  <c:v>-10.0002</c:v>
                </c:pt>
                <c:pt idx="775">
                  <c:v>-10.4002</c:v>
                </c:pt>
                <c:pt idx="776">
                  <c:v>-10.8002</c:v>
                </c:pt>
                <c:pt idx="777">
                  <c:v>-11.200200000000001</c:v>
                </c:pt>
                <c:pt idx="778">
                  <c:v>-11.600199999999999</c:v>
                </c:pt>
                <c:pt idx="779">
                  <c:v>-12.0002</c:v>
                </c:pt>
                <c:pt idx="780">
                  <c:v>-12.4002</c:v>
                </c:pt>
                <c:pt idx="781">
                  <c:v>-12.8002</c:v>
                </c:pt>
                <c:pt idx="782">
                  <c:v>-13.200200000000001</c:v>
                </c:pt>
                <c:pt idx="783">
                  <c:v>-13.600199999999999</c:v>
                </c:pt>
                <c:pt idx="784">
                  <c:v>-14.0002</c:v>
                </c:pt>
                <c:pt idx="785">
                  <c:v>-14.4002</c:v>
                </c:pt>
                <c:pt idx="786">
                  <c:v>-14.8002</c:v>
                </c:pt>
                <c:pt idx="787">
                  <c:v>-15.200200000000001</c:v>
                </c:pt>
                <c:pt idx="788">
                  <c:v>-15.600199999999999</c:v>
                </c:pt>
                <c:pt idx="789">
                  <c:v>-16.0002</c:v>
                </c:pt>
                <c:pt idx="790">
                  <c:v>-16.400200000000002</c:v>
                </c:pt>
                <c:pt idx="791">
                  <c:v>-16.8002</c:v>
                </c:pt>
                <c:pt idx="792">
                  <c:v>-17.200199999999999</c:v>
                </c:pt>
                <c:pt idx="793">
                  <c:v>-17.600200000000001</c:v>
                </c:pt>
                <c:pt idx="794">
                  <c:v>-18.0002</c:v>
                </c:pt>
                <c:pt idx="795">
                  <c:v>-18.400200000000002</c:v>
                </c:pt>
                <c:pt idx="796">
                  <c:v>-18.8002</c:v>
                </c:pt>
                <c:pt idx="797">
                  <c:v>-19.200199999999999</c:v>
                </c:pt>
                <c:pt idx="798">
                  <c:v>-19.600200000000001</c:v>
                </c:pt>
                <c:pt idx="799">
                  <c:v>-20.0002</c:v>
                </c:pt>
                <c:pt idx="800">
                  <c:v>-19.5502</c:v>
                </c:pt>
                <c:pt idx="801">
                  <c:v>-19.100200000000001</c:v>
                </c:pt>
                <c:pt idx="802">
                  <c:v>-18.650200000000002</c:v>
                </c:pt>
                <c:pt idx="803">
                  <c:v>-18.200199999999999</c:v>
                </c:pt>
                <c:pt idx="804">
                  <c:v>-17.7502</c:v>
                </c:pt>
                <c:pt idx="805">
                  <c:v>-17.3002</c:v>
                </c:pt>
                <c:pt idx="806">
                  <c:v>-16.850200000000001</c:v>
                </c:pt>
                <c:pt idx="807">
                  <c:v>-16.400200000000002</c:v>
                </c:pt>
                <c:pt idx="808">
                  <c:v>-15.950200000000001</c:v>
                </c:pt>
                <c:pt idx="809">
                  <c:v>-15.5002</c:v>
                </c:pt>
                <c:pt idx="810">
                  <c:v>-15.0502</c:v>
                </c:pt>
                <c:pt idx="811">
                  <c:v>-14.600199999999999</c:v>
                </c:pt>
                <c:pt idx="812">
                  <c:v>-14.1502</c:v>
                </c:pt>
                <c:pt idx="813">
                  <c:v>-13.700200000000001</c:v>
                </c:pt>
                <c:pt idx="814">
                  <c:v>-13.2502</c:v>
                </c:pt>
                <c:pt idx="815">
                  <c:v>-12.8002</c:v>
                </c:pt>
                <c:pt idx="816">
                  <c:v>-12.350199999999999</c:v>
                </c:pt>
                <c:pt idx="817">
                  <c:v>-11.9002</c:v>
                </c:pt>
                <c:pt idx="818">
                  <c:v>-11.450200000000001</c:v>
                </c:pt>
                <c:pt idx="819">
                  <c:v>-11.0002</c:v>
                </c:pt>
                <c:pt idx="820">
                  <c:v>-10.5502</c:v>
                </c:pt>
                <c:pt idx="821">
                  <c:v>-10.100199999999999</c:v>
                </c:pt>
                <c:pt idx="822">
                  <c:v>-9.6501900000000003</c:v>
                </c:pt>
                <c:pt idx="823">
                  <c:v>-9.2001899999999992</c:v>
                </c:pt>
                <c:pt idx="824">
                  <c:v>-8.7501899999999999</c:v>
                </c:pt>
                <c:pt idx="825">
                  <c:v>-8.3001900000000006</c:v>
                </c:pt>
                <c:pt idx="826">
                  <c:v>-7.8501899999999996</c:v>
                </c:pt>
                <c:pt idx="827">
                  <c:v>-7.4001900000000003</c:v>
                </c:pt>
                <c:pt idx="828">
                  <c:v>-6.9501900000000001</c:v>
                </c:pt>
                <c:pt idx="829">
                  <c:v>-6.5001899999999999</c:v>
                </c:pt>
                <c:pt idx="830">
                  <c:v>-6.0501899999999997</c:v>
                </c:pt>
                <c:pt idx="831">
                  <c:v>-5.6001899999999996</c:v>
                </c:pt>
                <c:pt idx="832">
                  <c:v>-5.1501900000000003</c:v>
                </c:pt>
                <c:pt idx="833">
                  <c:v>-4.7001900000000001</c:v>
                </c:pt>
                <c:pt idx="834">
                  <c:v>-4.2501899999999999</c:v>
                </c:pt>
                <c:pt idx="835">
                  <c:v>-3.8001900000000002</c:v>
                </c:pt>
                <c:pt idx="836">
                  <c:v>-3.35019</c:v>
                </c:pt>
                <c:pt idx="837">
                  <c:v>-2.9001899999999998</c:v>
                </c:pt>
                <c:pt idx="838">
                  <c:v>-2.4501900000000001</c:v>
                </c:pt>
                <c:pt idx="839">
                  <c:v>-2.0001899999999999</c:v>
                </c:pt>
                <c:pt idx="840">
                  <c:v>-1.55019</c:v>
                </c:pt>
                <c:pt idx="841">
                  <c:v>-1.10019</c:v>
                </c:pt>
                <c:pt idx="842">
                  <c:v>-0.65018799999999999</c:v>
                </c:pt>
                <c:pt idx="843">
                  <c:v>-0.200188</c:v>
                </c:pt>
                <c:pt idx="844">
                  <c:v>0.24981200000000001</c:v>
                </c:pt>
                <c:pt idx="845">
                  <c:v>0.69981199999999999</c:v>
                </c:pt>
                <c:pt idx="846">
                  <c:v>1.14981</c:v>
                </c:pt>
                <c:pt idx="847">
                  <c:v>1.59981</c:v>
                </c:pt>
                <c:pt idx="848">
                  <c:v>2.0498099999999999</c:v>
                </c:pt>
                <c:pt idx="849">
                  <c:v>2.4998100000000001</c:v>
                </c:pt>
                <c:pt idx="850">
                  <c:v>2.9498099999999998</c:v>
                </c:pt>
                <c:pt idx="851">
                  <c:v>3.39981</c:v>
                </c:pt>
                <c:pt idx="852">
                  <c:v>3.8498100000000002</c:v>
                </c:pt>
                <c:pt idx="853">
                  <c:v>4.2998099999999999</c:v>
                </c:pt>
                <c:pt idx="854">
                  <c:v>4.7498100000000001</c:v>
                </c:pt>
                <c:pt idx="855">
                  <c:v>5.1998100000000003</c:v>
                </c:pt>
                <c:pt idx="856">
                  <c:v>5.6498100000000004</c:v>
                </c:pt>
                <c:pt idx="857">
                  <c:v>6.0998099999999997</c:v>
                </c:pt>
                <c:pt idx="858">
                  <c:v>6.5498099999999999</c:v>
                </c:pt>
                <c:pt idx="859">
                  <c:v>6.9998100000000001</c:v>
                </c:pt>
                <c:pt idx="860">
                  <c:v>7.4498100000000003</c:v>
                </c:pt>
                <c:pt idx="861">
                  <c:v>7.8998100000000004</c:v>
                </c:pt>
                <c:pt idx="862">
                  <c:v>8.3498099999999997</c:v>
                </c:pt>
                <c:pt idx="863">
                  <c:v>8.7998100000000008</c:v>
                </c:pt>
                <c:pt idx="864">
                  <c:v>9.2498100000000001</c:v>
                </c:pt>
                <c:pt idx="865">
                  <c:v>9.6998099999999994</c:v>
                </c:pt>
                <c:pt idx="866">
                  <c:v>10.149800000000001</c:v>
                </c:pt>
                <c:pt idx="867">
                  <c:v>10.5998</c:v>
                </c:pt>
                <c:pt idx="868">
                  <c:v>11.049799999999999</c:v>
                </c:pt>
                <c:pt idx="869">
                  <c:v>11.4998</c:v>
                </c:pt>
                <c:pt idx="870">
                  <c:v>11.9498</c:v>
                </c:pt>
                <c:pt idx="871">
                  <c:v>12.399800000000001</c:v>
                </c:pt>
                <c:pt idx="872">
                  <c:v>12.8498</c:v>
                </c:pt>
                <c:pt idx="873">
                  <c:v>13.299799999999999</c:v>
                </c:pt>
                <c:pt idx="874">
                  <c:v>13.7498</c:v>
                </c:pt>
                <c:pt idx="875">
                  <c:v>14.1998</c:v>
                </c:pt>
                <c:pt idx="876">
                  <c:v>14.649800000000001</c:v>
                </c:pt>
                <c:pt idx="877">
                  <c:v>15.0998</c:v>
                </c:pt>
                <c:pt idx="878">
                  <c:v>15.549799999999999</c:v>
                </c:pt>
                <c:pt idx="879">
                  <c:v>15.9998</c:v>
                </c:pt>
                <c:pt idx="880">
                  <c:v>16.4498</c:v>
                </c:pt>
                <c:pt idx="881">
                  <c:v>16.899799999999999</c:v>
                </c:pt>
                <c:pt idx="882">
                  <c:v>17.349799999999998</c:v>
                </c:pt>
                <c:pt idx="883">
                  <c:v>17.799800000000001</c:v>
                </c:pt>
                <c:pt idx="884">
                  <c:v>18.2498</c:v>
                </c:pt>
                <c:pt idx="885">
                  <c:v>18.6998</c:v>
                </c:pt>
                <c:pt idx="886">
                  <c:v>19.149799999999999</c:v>
                </c:pt>
                <c:pt idx="887">
                  <c:v>19.599799999999998</c:v>
                </c:pt>
                <c:pt idx="888">
                  <c:v>20.049800000000001</c:v>
                </c:pt>
                <c:pt idx="889">
                  <c:v>20.4998</c:v>
                </c:pt>
                <c:pt idx="890">
                  <c:v>20.9498</c:v>
                </c:pt>
                <c:pt idx="891">
                  <c:v>21.399799999999999</c:v>
                </c:pt>
                <c:pt idx="892">
                  <c:v>21.849799999999998</c:v>
                </c:pt>
                <c:pt idx="893">
                  <c:v>22.299800000000001</c:v>
                </c:pt>
                <c:pt idx="894">
                  <c:v>22.7498</c:v>
                </c:pt>
                <c:pt idx="895">
                  <c:v>23.1998</c:v>
                </c:pt>
                <c:pt idx="896">
                  <c:v>23.649799999999999</c:v>
                </c:pt>
                <c:pt idx="897">
                  <c:v>24.099799999999998</c:v>
                </c:pt>
                <c:pt idx="898">
                  <c:v>24.549800000000001</c:v>
                </c:pt>
                <c:pt idx="899">
                  <c:v>24.9998</c:v>
                </c:pt>
                <c:pt idx="900">
                  <c:v>24.4998</c:v>
                </c:pt>
                <c:pt idx="901">
                  <c:v>23.9998</c:v>
                </c:pt>
                <c:pt idx="902">
                  <c:v>23.4998</c:v>
                </c:pt>
                <c:pt idx="903">
                  <c:v>22.9998</c:v>
                </c:pt>
                <c:pt idx="904">
                  <c:v>22.4998</c:v>
                </c:pt>
                <c:pt idx="905">
                  <c:v>21.9998</c:v>
                </c:pt>
                <c:pt idx="906">
                  <c:v>21.4998</c:v>
                </c:pt>
                <c:pt idx="907">
                  <c:v>20.9998</c:v>
                </c:pt>
                <c:pt idx="908">
                  <c:v>20.4998</c:v>
                </c:pt>
                <c:pt idx="909">
                  <c:v>19.9998</c:v>
                </c:pt>
                <c:pt idx="910">
                  <c:v>19.4998</c:v>
                </c:pt>
                <c:pt idx="911">
                  <c:v>18.9998</c:v>
                </c:pt>
                <c:pt idx="912">
                  <c:v>18.4998</c:v>
                </c:pt>
                <c:pt idx="913">
                  <c:v>17.9998</c:v>
                </c:pt>
                <c:pt idx="914">
                  <c:v>17.4998</c:v>
                </c:pt>
                <c:pt idx="915">
                  <c:v>16.9998</c:v>
                </c:pt>
                <c:pt idx="916">
                  <c:v>16.4998</c:v>
                </c:pt>
                <c:pt idx="917">
                  <c:v>15.9998</c:v>
                </c:pt>
                <c:pt idx="918">
                  <c:v>15.4998</c:v>
                </c:pt>
                <c:pt idx="919">
                  <c:v>14.9998</c:v>
                </c:pt>
                <c:pt idx="920">
                  <c:v>14.4998</c:v>
                </c:pt>
                <c:pt idx="921">
                  <c:v>13.9998</c:v>
                </c:pt>
                <c:pt idx="922">
                  <c:v>13.4998</c:v>
                </c:pt>
                <c:pt idx="923">
                  <c:v>12.9998</c:v>
                </c:pt>
                <c:pt idx="924">
                  <c:v>12.4998</c:v>
                </c:pt>
                <c:pt idx="925">
                  <c:v>11.9998</c:v>
                </c:pt>
                <c:pt idx="926">
                  <c:v>11.4998</c:v>
                </c:pt>
                <c:pt idx="927">
                  <c:v>10.9998</c:v>
                </c:pt>
                <c:pt idx="928">
                  <c:v>10.4998</c:v>
                </c:pt>
                <c:pt idx="929">
                  <c:v>9.9998100000000001</c:v>
                </c:pt>
                <c:pt idx="930">
                  <c:v>9.4998100000000001</c:v>
                </c:pt>
                <c:pt idx="931">
                  <c:v>8.9998100000000001</c:v>
                </c:pt>
                <c:pt idx="932">
                  <c:v>8.4998100000000001</c:v>
                </c:pt>
                <c:pt idx="933">
                  <c:v>7.9998100000000001</c:v>
                </c:pt>
                <c:pt idx="934">
                  <c:v>7.4998100000000001</c:v>
                </c:pt>
                <c:pt idx="935">
                  <c:v>6.9998100000000001</c:v>
                </c:pt>
                <c:pt idx="936">
                  <c:v>6.4998100000000001</c:v>
                </c:pt>
                <c:pt idx="937">
                  <c:v>5.9998100000000001</c:v>
                </c:pt>
                <c:pt idx="938">
                  <c:v>5.4998100000000001</c:v>
                </c:pt>
                <c:pt idx="939">
                  <c:v>4.9998100000000001</c:v>
                </c:pt>
                <c:pt idx="940">
                  <c:v>4.4998100000000001</c:v>
                </c:pt>
                <c:pt idx="941">
                  <c:v>3.9998100000000001</c:v>
                </c:pt>
                <c:pt idx="942">
                  <c:v>3.4998100000000001</c:v>
                </c:pt>
                <c:pt idx="943">
                  <c:v>2.9998100000000001</c:v>
                </c:pt>
                <c:pt idx="944">
                  <c:v>2.4998100000000001</c:v>
                </c:pt>
                <c:pt idx="945">
                  <c:v>1.9998100000000001</c:v>
                </c:pt>
                <c:pt idx="946">
                  <c:v>1.4998100000000001</c:v>
                </c:pt>
                <c:pt idx="947">
                  <c:v>0.99981200000000003</c:v>
                </c:pt>
                <c:pt idx="948">
                  <c:v>0.49981199999999998</c:v>
                </c:pt>
                <c:pt idx="949">
                  <c:v>-1.8810300000000001E-4</c:v>
                </c:pt>
                <c:pt idx="950">
                  <c:v>-0.50018799999999997</c:v>
                </c:pt>
                <c:pt idx="951">
                  <c:v>-1.0001899999999999</c:v>
                </c:pt>
                <c:pt idx="952">
                  <c:v>-1.5001899999999999</c:v>
                </c:pt>
                <c:pt idx="953">
                  <c:v>-2.0001899999999999</c:v>
                </c:pt>
                <c:pt idx="954">
                  <c:v>-2.5001899999999999</c:v>
                </c:pt>
                <c:pt idx="955">
                  <c:v>-3.0001899999999999</c:v>
                </c:pt>
                <c:pt idx="956">
                  <c:v>-3.5001899999999999</c:v>
                </c:pt>
                <c:pt idx="957">
                  <c:v>-4.0001899999999999</c:v>
                </c:pt>
                <c:pt idx="958">
                  <c:v>-4.5001899999999999</c:v>
                </c:pt>
                <c:pt idx="959">
                  <c:v>-5.0001899999999999</c:v>
                </c:pt>
                <c:pt idx="960">
                  <c:v>-5.5001899999999999</c:v>
                </c:pt>
                <c:pt idx="961">
                  <c:v>-6.0001899999999999</c:v>
                </c:pt>
                <c:pt idx="962">
                  <c:v>-6.5001899999999999</c:v>
                </c:pt>
                <c:pt idx="963">
                  <c:v>-7.0001899999999999</c:v>
                </c:pt>
                <c:pt idx="964">
                  <c:v>-7.5001899999999999</c:v>
                </c:pt>
                <c:pt idx="965">
                  <c:v>-8.0001899999999999</c:v>
                </c:pt>
                <c:pt idx="966">
                  <c:v>-8.5001899999999999</c:v>
                </c:pt>
                <c:pt idx="967">
                  <c:v>-9.0001899999999999</c:v>
                </c:pt>
                <c:pt idx="968">
                  <c:v>-9.5001899999999999</c:v>
                </c:pt>
                <c:pt idx="969">
                  <c:v>-10.0002</c:v>
                </c:pt>
                <c:pt idx="970">
                  <c:v>-10.5002</c:v>
                </c:pt>
                <c:pt idx="971">
                  <c:v>-11.0002</c:v>
                </c:pt>
                <c:pt idx="972">
                  <c:v>-11.5002</c:v>
                </c:pt>
                <c:pt idx="973">
                  <c:v>-12.0002</c:v>
                </c:pt>
                <c:pt idx="974">
                  <c:v>-12.5002</c:v>
                </c:pt>
                <c:pt idx="975">
                  <c:v>-13.0002</c:v>
                </c:pt>
                <c:pt idx="976">
                  <c:v>-13.5002</c:v>
                </c:pt>
                <c:pt idx="977">
                  <c:v>-14.0002</c:v>
                </c:pt>
                <c:pt idx="978">
                  <c:v>-14.5002</c:v>
                </c:pt>
                <c:pt idx="979">
                  <c:v>-15.0002</c:v>
                </c:pt>
                <c:pt idx="980">
                  <c:v>-15.5002</c:v>
                </c:pt>
                <c:pt idx="981">
                  <c:v>-16.0002</c:v>
                </c:pt>
                <c:pt idx="982">
                  <c:v>-16.5002</c:v>
                </c:pt>
                <c:pt idx="983">
                  <c:v>-17.0002</c:v>
                </c:pt>
                <c:pt idx="984">
                  <c:v>-17.5002</c:v>
                </c:pt>
                <c:pt idx="985">
                  <c:v>-18.0002</c:v>
                </c:pt>
                <c:pt idx="986">
                  <c:v>-18.5002</c:v>
                </c:pt>
                <c:pt idx="987">
                  <c:v>-19.0002</c:v>
                </c:pt>
                <c:pt idx="988">
                  <c:v>-19.5002</c:v>
                </c:pt>
                <c:pt idx="989">
                  <c:v>-20.0002</c:v>
                </c:pt>
                <c:pt idx="990">
                  <c:v>-20.5002</c:v>
                </c:pt>
                <c:pt idx="991">
                  <c:v>-21.0002</c:v>
                </c:pt>
                <c:pt idx="992">
                  <c:v>-21.5002</c:v>
                </c:pt>
                <c:pt idx="993">
                  <c:v>-22.0002</c:v>
                </c:pt>
                <c:pt idx="994">
                  <c:v>-22.5002</c:v>
                </c:pt>
                <c:pt idx="995">
                  <c:v>-23.0002</c:v>
                </c:pt>
                <c:pt idx="996">
                  <c:v>-23.5002</c:v>
                </c:pt>
                <c:pt idx="997">
                  <c:v>-24.0002</c:v>
                </c:pt>
                <c:pt idx="998">
                  <c:v>-24.5002</c:v>
                </c:pt>
                <c:pt idx="999">
                  <c:v>-25.0002</c:v>
                </c:pt>
              </c:numCache>
            </c:numRef>
          </c:xVal>
          <c:yVal>
            <c:numRef>
              <c:f>Result!$A$1:$A$5000</c:f>
              <c:numCache>
                <c:formatCode>General</c:formatCode>
                <c:ptCount val="5000"/>
                <c:pt idx="0">
                  <c:v>0.68106299999999997</c:v>
                </c:pt>
                <c:pt idx="1">
                  <c:v>0.64232500000000003</c:v>
                </c:pt>
                <c:pt idx="2">
                  <c:v>0.72884800000000005</c:v>
                </c:pt>
                <c:pt idx="3">
                  <c:v>0.88799700000000004</c:v>
                </c:pt>
                <c:pt idx="4">
                  <c:v>1.0240899999999999</c:v>
                </c:pt>
                <c:pt idx="5">
                  <c:v>1.1342699999999999</c:v>
                </c:pt>
                <c:pt idx="6">
                  <c:v>1.2298199999999999</c:v>
                </c:pt>
                <c:pt idx="7">
                  <c:v>1.30166</c:v>
                </c:pt>
                <c:pt idx="8">
                  <c:v>1.37456</c:v>
                </c:pt>
                <c:pt idx="9">
                  <c:v>1.44628</c:v>
                </c:pt>
                <c:pt idx="10">
                  <c:v>1.5161500000000001</c:v>
                </c:pt>
                <c:pt idx="11">
                  <c:v>1.5841000000000001</c:v>
                </c:pt>
                <c:pt idx="12">
                  <c:v>1.65011</c:v>
                </c:pt>
                <c:pt idx="13">
                  <c:v>1.7143999999999999</c:v>
                </c:pt>
                <c:pt idx="14">
                  <c:v>1.77698</c:v>
                </c:pt>
                <c:pt idx="15">
                  <c:v>1.83802</c:v>
                </c:pt>
                <c:pt idx="16">
                  <c:v>1.8976</c:v>
                </c:pt>
                <c:pt idx="17">
                  <c:v>1.9560200000000001</c:v>
                </c:pt>
                <c:pt idx="18">
                  <c:v>2.0136099999999999</c:v>
                </c:pt>
                <c:pt idx="19">
                  <c:v>2.0703900000000002</c:v>
                </c:pt>
                <c:pt idx="20">
                  <c:v>2.1263399999999999</c:v>
                </c:pt>
                <c:pt idx="21">
                  <c:v>2.1816499999999999</c:v>
                </c:pt>
                <c:pt idx="22">
                  <c:v>2.2363300000000002</c:v>
                </c:pt>
                <c:pt idx="23">
                  <c:v>2.2904900000000001</c:v>
                </c:pt>
                <c:pt idx="24">
                  <c:v>2.3441700000000001</c:v>
                </c:pt>
                <c:pt idx="25">
                  <c:v>2.3974799999999998</c:v>
                </c:pt>
                <c:pt idx="26">
                  <c:v>2.4503699999999999</c:v>
                </c:pt>
                <c:pt idx="27">
                  <c:v>2.50291</c:v>
                </c:pt>
                <c:pt idx="28">
                  <c:v>2.5551200000000001</c:v>
                </c:pt>
                <c:pt idx="29">
                  <c:v>2.6070600000000002</c:v>
                </c:pt>
                <c:pt idx="30">
                  <c:v>2.6587399999999999</c:v>
                </c:pt>
                <c:pt idx="31">
                  <c:v>2.7101299999999999</c:v>
                </c:pt>
                <c:pt idx="32">
                  <c:v>2.76125</c:v>
                </c:pt>
                <c:pt idx="33">
                  <c:v>2.8121100000000001</c:v>
                </c:pt>
                <c:pt idx="34">
                  <c:v>2.86273</c:v>
                </c:pt>
                <c:pt idx="35">
                  <c:v>2.9131499999999999</c:v>
                </c:pt>
                <c:pt idx="36">
                  <c:v>2.96339</c:v>
                </c:pt>
                <c:pt idx="37">
                  <c:v>3.0134400000000001</c:v>
                </c:pt>
                <c:pt idx="38">
                  <c:v>3.06331</c:v>
                </c:pt>
                <c:pt idx="39">
                  <c:v>3.1130100000000001</c:v>
                </c:pt>
                <c:pt idx="40">
                  <c:v>3.1625399999999999</c:v>
                </c:pt>
                <c:pt idx="41">
                  <c:v>3.21191</c:v>
                </c:pt>
                <c:pt idx="42">
                  <c:v>3.26112</c:v>
                </c:pt>
                <c:pt idx="43">
                  <c:v>3.3101400000000001</c:v>
                </c:pt>
                <c:pt idx="44">
                  <c:v>3.3590399999999998</c:v>
                </c:pt>
                <c:pt idx="45">
                  <c:v>3.4077600000000001</c:v>
                </c:pt>
                <c:pt idx="46">
                  <c:v>3.4563299999999999</c:v>
                </c:pt>
                <c:pt idx="47">
                  <c:v>3.5047899999999998</c:v>
                </c:pt>
                <c:pt idx="48">
                  <c:v>3.5531199999999998</c:v>
                </c:pt>
                <c:pt idx="49">
                  <c:v>3.6013500000000001</c:v>
                </c:pt>
                <c:pt idx="50">
                  <c:v>3.6494800000000001</c:v>
                </c:pt>
                <c:pt idx="51">
                  <c:v>3.69753</c:v>
                </c:pt>
                <c:pt idx="52">
                  <c:v>3.7454700000000001</c:v>
                </c:pt>
                <c:pt idx="53">
                  <c:v>3.7933300000000001</c:v>
                </c:pt>
                <c:pt idx="54">
                  <c:v>3.84111</c:v>
                </c:pt>
                <c:pt idx="55">
                  <c:v>3.8888199999999999</c:v>
                </c:pt>
                <c:pt idx="56">
                  <c:v>3.9364300000000001</c:v>
                </c:pt>
                <c:pt idx="57">
                  <c:v>3.98394</c:v>
                </c:pt>
                <c:pt idx="58">
                  <c:v>4.0313600000000003</c:v>
                </c:pt>
                <c:pt idx="59">
                  <c:v>4.0787100000000001</c:v>
                </c:pt>
                <c:pt idx="60">
                  <c:v>4.1259899999999998</c:v>
                </c:pt>
                <c:pt idx="61">
                  <c:v>4.1732199999999997</c:v>
                </c:pt>
                <c:pt idx="62">
                  <c:v>4.2203900000000001</c:v>
                </c:pt>
                <c:pt idx="63">
                  <c:v>4.2675200000000002</c:v>
                </c:pt>
                <c:pt idx="64">
                  <c:v>4.3145899999999999</c:v>
                </c:pt>
                <c:pt idx="65">
                  <c:v>4.3616000000000001</c:v>
                </c:pt>
                <c:pt idx="66">
                  <c:v>4.4085400000000003</c:v>
                </c:pt>
                <c:pt idx="67">
                  <c:v>4.4554200000000002</c:v>
                </c:pt>
                <c:pt idx="68">
                  <c:v>4.5022500000000001</c:v>
                </c:pt>
                <c:pt idx="69">
                  <c:v>4.54901</c:v>
                </c:pt>
                <c:pt idx="70">
                  <c:v>4.5957100000000004</c:v>
                </c:pt>
                <c:pt idx="71">
                  <c:v>4.6423800000000002</c:v>
                </c:pt>
                <c:pt idx="72">
                  <c:v>4.6890000000000001</c:v>
                </c:pt>
                <c:pt idx="73">
                  <c:v>4.7355799999999997</c:v>
                </c:pt>
                <c:pt idx="74">
                  <c:v>4.7821199999999999</c:v>
                </c:pt>
                <c:pt idx="75">
                  <c:v>4.8286100000000003</c:v>
                </c:pt>
                <c:pt idx="76">
                  <c:v>4.8750499999999999</c:v>
                </c:pt>
                <c:pt idx="77">
                  <c:v>4.9214399999999996</c:v>
                </c:pt>
                <c:pt idx="78">
                  <c:v>4.9677699999999998</c:v>
                </c:pt>
                <c:pt idx="79">
                  <c:v>5.0140399999999996</c:v>
                </c:pt>
                <c:pt idx="80">
                  <c:v>5.0602600000000004</c:v>
                </c:pt>
                <c:pt idx="81">
                  <c:v>5.1064400000000001</c:v>
                </c:pt>
                <c:pt idx="82">
                  <c:v>5.1525800000000004</c:v>
                </c:pt>
                <c:pt idx="83">
                  <c:v>5.19869</c:v>
                </c:pt>
                <c:pt idx="84">
                  <c:v>5.2447499999999998</c:v>
                </c:pt>
                <c:pt idx="85">
                  <c:v>5.2907700000000002</c:v>
                </c:pt>
                <c:pt idx="86">
                  <c:v>5.3367399999999998</c:v>
                </c:pt>
                <c:pt idx="87">
                  <c:v>5.3826799999999997</c:v>
                </c:pt>
                <c:pt idx="88">
                  <c:v>5.4285800000000002</c:v>
                </c:pt>
                <c:pt idx="89">
                  <c:v>5.4744299999999999</c:v>
                </c:pt>
                <c:pt idx="90">
                  <c:v>5.5202400000000003</c:v>
                </c:pt>
                <c:pt idx="91">
                  <c:v>5.5660100000000003</c:v>
                </c:pt>
                <c:pt idx="92">
                  <c:v>5.6117400000000002</c:v>
                </c:pt>
                <c:pt idx="93">
                  <c:v>5.6574299999999997</c:v>
                </c:pt>
                <c:pt idx="94">
                  <c:v>5.7030900000000004</c:v>
                </c:pt>
                <c:pt idx="95">
                  <c:v>5.74871</c:v>
                </c:pt>
                <c:pt idx="96">
                  <c:v>5.7942999999999998</c:v>
                </c:pt>
                <c:pt idx="97">
                  <c:v>5.8398599999999998</c:v>
                </c:pt>
                <c:pt idx="98">
                  <c:v>5.8853799999999996</c:v>
                </c:pt>
                <c:pt idx="99">
                  <c:v>5.9308699999999996</c:v>
                </c:pt>
                <c:pt idx="100">
                  <c:v>5.8564100000000003</c:v>
                </c:pt>
                <c:pt idx="101">
                  <c:v>5.7592600000000003</c:v>
                </c:pt>
                <c:pt idx="102">
                  <c:v>5.6620400000000002</c:v>
                </c:pt>
                <c:pt idx="103">
                  <c:v>5.5647500000000001</c:v>
                </c:pt>
                <c:pt idx="104">
                  <c:v>5.4673999999999996</c:v>
                </c:pt>
                <c:pt idx="105">
                  <c:v>5.36998</c:v>
                </c:pt>
                <c:pt idx="106">
                  <c:v>5.2724900000000003</c:v>
                </c:pt>
                <c:pt idx="107">
                  <c:v>5.1749000000000001</c:v>
                </c:pt>
                <c:pt idx="108">
                  <c:v>5.0771899999999999</c:v>
                </c:pt>
                <c:pt idx="109">
                  <c:v>4.9794299999999998</c:v>
                </c:pt>
                <c:pt idx="110">
                  <c:v>4.8815200000000001</c:v>
                </c:pt>
                <c:pt idx="111">
                  <c:v>4.7835400000000003</c:v>
                </c:pt>
                <c:pt idx="112">
                  <c:v>4.6854699999999996</c:v>
                </c:pt>
                <c:pt idx="113">
                  <c:v>4.5873299999999997</c:v>
                </c:pt>
                <c:pt idx="114">
                  <c:v>4.4889799999999997</c:v>
                </c:pt>
                <c:pt idx="115">
                  <c:v>4.3904500000000004</c:v>
                </c:pt>
                <c:pt idx="116">
                  <c:v>4.2917899999999998</c:v>
                </c:pt>
                <c:pt idx="117">
                  <c:v>4.1928900000000002</c:v>
                </c:pt>
                <c:pt idx="118">
                  <c:v>4.0938299999999996</c:v>
                </c:pt>
                <c:pt idx="119">
                  <c:v>3.9946299999999999</c:v>
                </c:pt>
                <c:pt idx="120">
                  <c:v>3.8951799999999999</c:v>
                </c:pt>
                <c:pt idx="121">
                  <c:v>3.79556</c:v>
                </c:pt>
                <c:pt idx="122">
                  <c:v>3.6955</c:v>
                </c:pt>
                <c:pt idx="123">
                  <c:v>3.5949900000000001</c:v>
                </c:pt>
                <c:pt idx="124">
                  <c:v>3.4942199999999999</c:v>
                </c:pt>
                <c:pt idx="125">
                  <c:v>3.3931200000000001</c:v>
                </c:pt>
                <c:pt idx="126">
                  <c:v>3.2914099999999999</c:v>
                </c:pt>
                <c:pt idx="127">
                  <c:v>3.1891699999999998</c:v>
                </c:pt>
                <c:pt idx="128">
                  <c:v>3.0863900000000002</c:v>
                </c:pt>
                <c:pt idx="129">
                  <c:v>2.98292</c:v>
                </c:pt>
                <c:pt idx="130">
                  <c:v>2.87846</c:v>
                </c:pt>
                <c:pt idx="131">
                  <c:v>2.7733099999999999</c:v>
                </c:pt>
                <c:pt idx="132">
                  <c:v>2.6671200000000002</c:v>
                </c:pt>
                <c:pt idx="133">
                  <c:v>2.55993</c:v>
                </c:pt>
                <c:pt idx="134">
                  <c:v>2.4518</c:v>
                </c:pt>
                <c:pt idx="135">
                  <c:v>2.3424</c:v>
                </c:pt>
                <c:pt idx="136">
                  <c:v>2.23109</c:v>
                </c:pt>
                <c:pt idx="137">
                  <c:v>2.1178699999999999</c:v>
                </c:pt>
                <c:pt idx="138">
                  <c:v>2.00238</c:v>
                </c:pt>
                <c:pt idx="139">
                  <c:v>1.8840600000000001</c:v>
                </c:pt>
                <c:pt idx="140">
                  <c:v>1.7614399999999999</c:v>
                </c:pt>
                <c:pt idx="141">
                  <c:v>1.6337900000000001</c:v>
                </c:pt>
                <c:pt idx="142">
                  <c:v>1.4995099999999999</c:v>
                </c:pt>
                <c:pt idx="143">
                  <c:v>1.3569899999999999</c:v>
                </c:pt>
                <c:pt idx="144">
                  <c:v>1.20224</c:v>
                </c:pt>
                <c:pt idx="145">
                  <c:v>1.0270999999999999</c:v>
                </c:pt>
                <c:pt idx="146">
                  <c:v>0.82794500000000004</c:v>
                </c:pt>
                <c:pt idx="147">
                  <c:v>0.55368600000000001</c:v>
                </c:pt>
                <c:pt idx="148">
                  <c:v>0.16891200000000001</c:v>
                </c:pt>
                <c:pt idx="149">
                  <c:v>-0.20186100000000001</c:v>
                </c:pt>
                <c:pt idx="150">
                  <c:v>-0.53622000000000003</c:v>
                </c:pt>
                <c:pt idx="151">
                  <c:v>-0.79191699999999998</c:v>
                </c:pt>
                <c:pt idx="152">
                  <c:v>-0.95036299999999996</c:v>
                </c:pt>
                <c:pt idx="153">
                  <c:v>-1.07236</c:v>
                </c:pt>
                <c:pt idx="154">
                  <c:v>-1.1780999999999999</c:v>
                </c:pt>
                <c:pt idx="155">
                  <c:v>-1.2750699999999999</c:v>
                </c:pt>
                <c:pt idx="156">
                  <c:v>-1.3669500000000001</c:v>
                </c:pt>
                <c:pt idx="157">
                  <c:v>-1.4553</c:v>
                </c:pt>
                <c:pt idx="158">
                  <c:v>-1.54027</c:v>
                </c:pt>
                <c:pt idx="159">
                  <c:v>-1.62314</c:v>
                </c:pt>
                <c:pt idx="160">
                  <c:v>-1.7040299999999999</c:v>
                </c:pt>
                <c:pt idx="161">
                  <c:v>-1.7835300000000001</c:v>
                </c:pt>
                <c:pt idx="162">
                  <c:v>-1.8617900000000001</c:v>
                </c:pt>
                <c:pt idx="163">
                  <c:v>-1.9390400000000001</c:v>
                </c:pt>
                <c:pt idx="164">
                  <c:v>-2.0157099999999999</c:v>
                </c:pt>
                <c:pt idx="165">
                  <c:v>-2.0917599999999998</c:v>
                </c:pt>
                <c:pt idx="166">
                  <c:v>-2.1673300000000002</c:v>
                </c:pt>
                <c:pt idx="167">
                  <c:v>-2.24241</c:v>
                </c:pt>
                <c:pt idx="168">
                  <c:v>-2.31704</c:v>
                </c:pt>
                <c:pt idx="169">
                  <c:v>-2.39107</c:v>
                </c:pt>
                <c:pt idx="170">
                  <c:v>-2.4648099999999999</c:v>
                </c:pt>
                <c:pt idx="171">
                  <c:v>-2.5382099999999999</c:v>
                </c:pt>
                <c:pt idx="172">
                  <c:v>-2.6112799999999998</c:v>
                </c:pt>
                <c:pt idx="173">
                  <c:v>-2.68398</c:v>
                </c:pt>
                <c:pt idx="174">
                  <c:v>-2.7563499999999999</c:v>
                </c:pt>
                <c:pt idx="175">
                  <c:v>-2.8285100000000001</c:v>
                </c:pt>
                <c:pt idx="176">
                  <c:v>-2.9004400000000001</c:v>
                </c:pt>
                <c:pt idx="177">
                  <c:v>-2.9721099999999998</c:v>
                </c:pt>
                <c:pt idx="178">
                  <c:v>-3.04359</c:v>
                </c:pt>
                <c:pt idx="179">
                  <c:v>-3.1149399999999998</c:v>
                </c:pt>
                <c:pt idx="180">
                  <c:v>-3.18614</c:v>
                </c:pt>
                <c:pt idx="181">
                  <c:v>-3.2572299999999998</c:v>
                </c:pt>
                <c:pt idx="182">
                  <c:v>-3.3281800000000001</c:v>
                </c:pt>
                <c:pt idx="183">
                  <c:v>-3.3990200000000002</c:v>
                </c:pt>
                <c:pt idx="184">
                  <c:v>-3.4697</c:v>
                </c:pt>
                <c:pt idx="185">
                  <c:v>-3.5402800000000001</c:v>
                </c:pt>
                <c:pt idx="186">
                  <c:v>-3.6108099999999999</c:v>
                </c:pt>
                <c:pt idx="187">
                  <c:v>-3.6812800000000001</c:v>
                </c:pt>
                <c:pt idx="188">
                  <c:v>-3.7517</c:v>
                </c:pt>
                <c:pt idx="189">
                  <c:v>-3.8220399999999999</c:v>
                </c:pt>
                <c:pt idx="190">
                  <c:v>-3.8923399999999999</c:v>
                </c:pt>
                <c:pt idx="191">
                  <c:v>-3.9625900000000001</c:v>
                </c:pt>
                <c:pt idx="192">
                  <c:v>-4.0327900000000003</c:v>
                </c:pt>
                <c:pt idx="193">
                  <c:v>-4.1029299999999997</c:v>
                </c:pt>
                <c:pt idx="194">
                  <c:v>-4.1730200000000002</c:v>
                </c:pt>
                <c:pt idx="195">
                  <c:v>-4.2430500000000002</c:v>
                </c:pt>
                <c:pt idx="196">
                  <c:v>-4.3130300000000004</c:v>
                </c:pt>
                <c:pt idx="197">
                  <c:v>-4.3829500000000001</c:v>
                </c:pt>
                <c:pt idx="198">
                  <c:v>-4.4528299999999996</c:v>
                </c:pt>
                <c:pt idx="199">
                  <c:v>-4.5226699999999997</c:v>
                </c:pt>
                <c:pt idx="200">
                  <c:v>-4.41629</c:v>
                </c:pt>
                <c:pt idx="201">
                  <c:v>-4.3098000000000001</c:v>
                </c:pt>
                <c:pt idx="202">
                  <c:v>-4.2031900000000002</c:v>
                </c:pt>
                <c:pt idx="203">
                  <c:v>-4.0965100000000003</c:v>
                </c:pt>
                <c:pt idx="204">
                  <c:v>-3.9897100000000001</c:v>
                </c:pt>
                <c:pt idx="205">
                  <c:v>-3.8828499999999999</c:v>
                </c:pt>
                <c:pt idx="206">
                  <c:v>-3.7759</c:v>
                </c:pt>
                <c:pt idx="207">
                  <c:v>-3.6688499999999999</c:v>
                </c:pt>
                <c:pt idx="208">
                  <c:v>-3.5617100000000002</c:v>
                </c:pt>
                <c:pt idx="209">
                  <c:v>-3.4544100000000002</c:v>
                </c:pt>
                <c:pt idx="210">
                  <c:v>-3.34687</c:v>
                </c:pt>
                <c:pt idx="211">
                  <c:v>-3.2390500000000002</c:v>
                </c:pt>
                <c:pt idx="212">
                  <c:v>-3.1309800000000001</c:v>
                </c:pt>
                <c:pt idx="213">
                  <c:v>-3.0226799999999998</c:v>
                </c:pt>
                <c:pt idx="214">
                  <c:v>-2.9139699999999999</c:v>
                </c:pt>
                <c:pt idx="215">
                  <c:v>-2.8047399999999998</c:v>
                </c:pt>
                <c:pt idx="216">
                  <c:v>-2.6949200000000002</c:v>
                </c:pt>
                <c:pt idx="217">
                  <c:v>-2.5844499999999999</c:v>
                </c:pt>
                <c:pt idx="218">
                  <c:v>-2.4733100000000001</c:v>
                </c:pt>
                <c:pt idx="219">
                  <c:v>-2.3612899999999999</c:v>
                </c:pt>
                <c:pt idx="220">
                  <c:v>-2.2481599999999999</c:v>
                </c:pt>
                <c:pt idx="221">
                  <c:v>-2.1341100000000002</c:v>
                </c:pt>
                <c:pt idx="222">
                  <c:v>-2.0189699999999999</c:v>
                </c:pt>
                <c:pt idx="223">
                  <c:v>-1.90255</c:v>
                </c:pt>
                <c:pt idx="224">
                  <c:v>-1.78396</c:v>
                </c:pt>
                <c:pt idx="225">
                  <c:v>-1.66279</c:v>
                </c:pt>
                <c:pt idx="226">
                  <c:v>-1.5379700000000001</c:v>
                </c:pt>
                <c:pt idx="227">
                  <c:v>-1.40787</c:v>
                </c:pt>
                <c:pt idx="228">
                  <c:v>-1.27033</c:v>
                </c:pt>
                <c:pt idx="229">
                  <c:v>-1.12096</c:v>
                </c:pt>
                <c:pt idx="230">
                  <c:v>-0.94639899999999999</c:v>
                </c:pt>
                <c:pt idx="231">
                  <c:v>-0.69823999999999997</c:v>
                </c:pt>
                <c:pt idx="232">
                  <c:v>-0.25470999999999999</c:v>
                </c:pt>
                <c:pt idx="233">
                  <c:v>0.26185999999999998</c:v>
                </c:pt>
                <c:pt idx="234">
                  <c:v>0.71927200000000002</c:v>
                </c:pt>
                <c:pt idx="235">
                  <c:v>1.03148</c:v>
                </c:pt>
                <c:pt idx="236">
                  <c:v>1.28386</c:v>
                </c:pt>
                <c:pt idx="237">
                  <c:v>1.50098</c:v>
                </c:pt>
                <c:pt idx="238">
                  <c:v>1.6995499999999999</c:v>
                </c:pt>
                <c:pt idx="239">
                  <c:v>1.8848800000000001</c:v>
                </c:pt>
                <c:pt idx="240">
                  <c:v>2.0610599999999999</c:v>
                </c:pt>
                <c:pt idx="241">
                  <c:v>2.2315900000000002</c:v>
                </c:pt>
                <c:pt idx="242">
                  <c:v>2.3976999999999999</c:v>
                </c:pt>
                <c:pt idx="243">
                  <c:v>2.5602999999999998</c:v>
                </c:pt>
                <c:pt idx="244">
                  <c:v>2.7206800000000002</c:v>
                </c:pt>
                <c:pt idx="245">
                  <c:v>2.8787699999999998</c:v>
                </c:pt>
                <c:pt idx="246">
                  <c:v>3.0349900000000001</c:v>
                </c:pt>
                <c:pt idx="247">
                  <c:v>3.1893699999999998</c:v>
                </c:pt>
                <c:pt idx="248">
                  <c:v>3.3425099999999999</c:v>
                </c:pt>
                <c:pt idx="249">
                  <c:v>3.4943900000000001</c:v>
                </c:pt>
                <c:pt idx="250">
                  <c:v>3.6454399999999998</c:v>
                </c:pt>
                <c:pt idx="251">
                  <c:v>3.7957000000000001</c:v>
                </c:pt>
                <c:pt idx="252">
                  <c:v>3.9450699999999999</c:v>
                </c:pt>
                <c:pt idx="253">
                  <c:v>4.0939699999999997</c:v>
                </c:pt>
                <c:pt idx="254">
                  <c:v>4.2424999999999997</c:v>
                </c:pt>
                <c:pt idx="255">
                  <c:v>4.3905700000000003</c:v>
                </c:pt>
                <c:pt idx="256">
                  <c:v>4.5382999999999996</c:v>
                </c:pt>
                <c:pt idx="257">
                  <c:v>4.6855799999999999</c:v>
                </c:pt>
                <c:pt idx="258">
                  <c:v>4.8326500000000001</c:v>
                </c:pt>
                <c:pt idx="259">
                  <c:v>4.9795299999999996</c:v>
                </c:pt>
                <c:pt idx="260">
                  <c:v>5.1261599999999996</c:v>
                </c:pt>
                <c:pt idx="261">
                  <c:v>5.27257</c:v>
                </c:pt>
                <c:pt idx="262">
                  <c:v>5.4187799999999999</c:v>
                </c:pt>
                <c:pt idx="263">
                  <c:v>5.5648299999999997</c:v>
                </c:pt>
                <c:pt idx="264">
                  <c:v>5.7107200000000002</c:v>
                </c:pt>
                <c:pt idx="265">
                  <c:v>5.8565399999999999</c:v>
                </c:pt>
                <c:pt idx="266">
                  <c:v>5.9991199999999996</c:v>
                </c:pt>
                <c:pt idx="267">
                  <c:v>6.1352000000000002</c:v>
                </c:pt>
                <c:pt idx="268">
                  <c:v>6.2708899999999996</c:v>
                </c:pt>
                <c:pt idx="269">
                  <c:v>6.4062400000000004</c:v>
                </c:pt>
                <c:pt idx="270">
                  <c:v>6.54129</c:v>
                </c:pt>
                <c:pt idx="271">
                  <c:v>6.6760099999999998</c:v>
                </c:pt>
                <c:pt idx="272">
                  <c:v>6.8104300000000002</c:v>
                </c:pt>
                <c:pt idx="273">
                  <c:v>6.9445600000000001</c:v>
                </c:pt>
                <c:pt idx="274">
                  <c:v>7.07836</c:v>
                </c:pt>
                <c:pt idx="275">
                  <c:v>7.2118599999999997</c:v>
                </c:pt>
                <c:pt idx="276">
                  <c:v>7.3450699999999998</c:v>
                </c:pt>
                <c:pt idx="277">
                  <c:v>7.47797</c:v>
                </c:pt>
                <c:pt idx="278">
                  <c:v>7.6105499999999999</c:v>
                </c:pt>
                <c:pt idx="279">
                  <c:v>7.7428100000000004</c:v>
                </c:pt>
                <c:pt idx="280">
                  <c:v>7.8687800000000001</c:v>
                </c:pt>
                <c:pt idx="281">
                  <c:v>7.9822300000000004</c:v>
                </c:pt>
                <c:pt idx="282">
                  <c:v>8.0638799999999993</c:v>
                </c:pt>
                <c:pt idx="283">
                  <c:v>8.1311599999999995</c:v>
                </c:pt>
                <c:pt idx="284">
                  <c:v>8.1974599999999995</c:v>
                </c:pt>
                <c:pt idx="285">
                  <c:v>8.2631999999999994</c:v>
                </c:pt>
                <c:pt idx="286">
                  <c:v>8.3285900000000002</c:v>
                </c:pt>
                <c:pt idx="287">
                  <c:v>8.3936600000000006</c:v>
                </c:pt>
                <c:pt idx="288">
                  <c:v>8.4584399999999995</c:v>
                </c:pt>
                <c:pt idx="289">
                  <c:v>8.5229400000000002</c:v>
                </c:pt>
                <c:pt idx="290">
                  <c:v>8.5871600000000008</c:v>
                </c:pt>
                <c:pt idx="291">
                  <c:v>8.6510800000000003</c:v>
                </c:pt>
                <c:pt idx="292">
                  <c:v>8.7147000000000006</c:v>
                </c:pt>
                <c:pt idx="293">
                  <c:v>8.7780000000000005</c:v>
                </c:pt>
                <c:pt idx="294">
                  <c:v>8.8377599999999994</c:v>
                </c:pt>
                <c:pt idx="295">
                  <c:v>8.8853000000000009</c:v>
                </c:pt>
                <c:pt idx="296">
                  <c:v>8.9223599999999994</c:v>
                </c:pt>
                <c:pt idx="297">
                  <c:v>8.9512499999999999</c:v>
                </c:pt>
                <c:pt idx="298">
                  <c:v>8.9795099999999994</c:v>
                </c:pt>
                <c:pt idx="299">
                  <c:v>9.0074400000000008</c:v>
                </c:pt>
                <c:pt idx="300">
                  <c:v>8.8171999999999997</c:v>
                </c:pt>
                <c:pt idx="301">
                  <c:v>8.6269399999999994</c:v>
                </c:pt>
                <c:pt idx="302">
                  <c:v>8.4366299999999992</c:v>
                </c:pt>
                <c:pt idx="303">
                  <c:v>8.2462700000000009</c:v>
                </c:pt>
                <c:pt idx="304">
                  <c:v>8.0558599999999991</c:v>
                </c:pt>
                <c:pt idx="305">
                  <c:v>7.8653899999999997</c:v>
                </c:pt>
                <c:pt idx="306">
                  <c:v>7.6748399999999997</c:v>
                </c:pt>
                <c:pt idx="307">
                  <c:v>7.4841899999999999</c:v>
                </c:pt>
                <c:pt idx="308">
                  <c:v>7.2934799999999997</c:v>
                </c:pt>
                <c:pt idx="309">
                  <c:v>7.1026800000000003</c:v>
                </c:pt>
                <c:pt idx="310">
                  <c:v>6.9117800000000003</c:v>
                </c:pt>
                <c:pt idx="311">
                  <c:v>6.7207699999999999</c:v>
                </c:pt>
                <c:pt idx="312">
                  <c:v>6.52963</c:v>
                </c:pt>
                <c:pt idx="313">
                  <c:v>6.3383399999999996</c:v>
                </c:pt>
                <c:pt idx="314">
                  <c:v>6.1468999999999996</c:v>
                </c:pt>
                <c:pt idx="315">
                  <c:v>5.9553200000000004</c:v>
                </c:pt>
                <c:pt idx="316">
                  <c:v>5.7635500000000004</c:v>
                </c:pt>
                <c:pt idx="317">
                  <c:v>5.5715500000000002</c:v>
                </c:pt>
                <c:pt idx="318">
                  <c:v>5.3793100000000003</c:v>
                </c:pt>
                <c:pt idx="319">
                  <c:v>5.1867799999999997</c:v>
                </c:pt>
                <c:pt idx="320">
                  <c:v>4.9939099999999996</c:v>
                </c:pt>
                <c:pt idx="321">
                  <c:v>4.8007099999999996</c:v>
                </c:pt>
                <c:pt idx="322">
                  <c:v>4.6071799999999996</c:v>
                </c:pt>
                <c:pt idx="323">
                  <c:v>4.4131499999999999</c:v>
                </c:pt>
                <c:pt idx="324">
                  <c:v>4.21861</c:v>
                </c:pt>
                <c:pt idx="325">
                  <c:v>4.0233999999999996</c:v>
                </c:pt>
                <c:pt idx="326">
                  <c:v>3.8274499999999998</c:v>
                </c:pt>
                <c:pt idx="327">
                  <c:v>3.6306099999999999</c:v>
                </c:pt>
                <c:pt idx="328">
                  <c:v>3.4326099999999999</c:v>
                </c:pt>
                <c:pt idx="329">
                  <c:v>3.2331799999999999</c:v>
                </c:pt>
                <c:pt idx="330">
                  <c:v>3.0318399999999999</c:v>
                </c:pt>
                <c:pt idx="331">
                  <c:v>2.8282799999999999</c:v>
                </c:pt>
                <c:pt idx="332">
                  <c:v>2.6222699999999999</c:v>
                </c:pt>
                <c:pt idx="333">
                  <c:v>2.4134600000000002</c:v>
                </c:pt>
                <c:pt idx="334">
                  <c:v>2.20112</c:v>
                </c:pt>
                <c:pt idx="335">
                  <c:v>1.98438</c:v>
                </c:pt>
                <c:pt idx="336">
                  <c:v>1.7620199999999999</c:v>
                </c:pt>
                <c:pt idx="337">
                  <c:v>1.53264</c:v>
                </c:pt>
                <c:pt idx="338">
                  <c:v>1.30122</c:v>
                </c:pt>
                <c:pt idx="339">
                  <c:v>1.0631200000000001</c:v>
                </c:pt>
                <c:pt idx="340">
                  <c:v>0.80676000000000003</c:v>
                </c:pt>
                <c:pt idx="341">
                  <c:v>0.52917400000000003</c:v>
                </c:pt>
                <c:pt idx="342">
                  <c:v>0.237816</c:v>
                </c:pt>
                <c:pt idx="343">
                  <c:v>-5.2576699999999997E-2</c:v>
                </c:pt>
                <c:pt idx="344">
                  <c:v>-0.31880399999999998</c:v>
                </c:pt>
                <c:pt idx="345">
                  <c:v>-0.55825899999999995</c:v>
                </c:pt>
                <c:pt idx="346">
                  <c:v>-0.77838799999999997</c:v>
                </c:pt>
                <c:pt idx="347">
                  <c:v>-0.97702999999999995</c:v>
                </c:pt>
                <c:pt idx="348">
                  <c:v>-1.1196299999999999</c:v>
                </c:pt>
                <c:pt idx="349">
                  <c:v>-1.2430600000000001</c:v>
                </c:pt>
                <c:pt idx="350">
                  <c:v>-1.36256</c:v>
                </c:pt>
                <c:pt idx="351">
                  <c:v>-1.4789600000000001</c:v>
                </c:pt>
                <c:pt idx="352">
                  <c:v>-1.59276</c:v>
                </c:pt>
                <c:pt idx="353">
                  <c:v>-1.7045300000000001</c:v>
                </c:pt>
                <c:pt idx="354">
                  <c:v>-1.81853</c:v>
                </c:pt>
                <c:pt idx="355">
                  <c:v>-1.9599200000000001</c:v>
                </c:pt>
                <c:pt idx="356">
                  <c:v>-2.1099600000000001</c:v>
                </c:pt>
                <c:pt idx="357">
                  <c:v>-2.2598600000000002</c:v>
                </c:pt>
                <c:pt idx="358">
                  <c:v>-2.4086400000000001</c:v>
                </c:pt>
                <c:pt idx="359">
                  <c:v>-2.5562200000000002</c:v>
                </c:pt>
                <c:pt idx="360">
                  <c:v>-2.7026699999999999</c:v>
                </c:pt>
                <c:pt idx="361">
                  <c:v>-2.84816</c:v>
                </c:pt>
                <c:pt idx="362">
                  <c:v>-2.9929000000000001</c:v>
                </c:pt>
                <c:pt idx="363">
                  <c:v>-3.13693</c:v>
                </c:pt>
                <c:pt idx="364">
                  <c:v>-3.2805</c:v>
                </c:pt>
                <c:pt idx="365">
                  <c:v>-3.4236599999999999</c:v>
                </c:pt>
                <c:pt idx="366">
                  <c:v>-3.5664799999999999</c:v>
                </c:pt>
                <c:pt idx="367">
                  <c:v>-3.7090399999999999</c:v>
                </c:pt>
                <c:pt idx="368">
                  <c:v>-3.85141</c:v>
                </c:pt>
                <c:pt idx="369">
                  <c:v>-3.9936400000000001</c:v>
                </c:pt>
                <c:pt idx="370">
                  <c:v>-4.1356999999999999</c:v>
                </c:pt>
                <c:pt idx="371">
                  <c:v>-4.2776500000000004</c:v>
                </c:pt>
                <c:pt idx="372">
                  <c:v>-4.4194599999999999</c:v>
                </c:pt>
                <c:pt idx="373">
                  <c:v>-4.5608399999999998</c:v>
                </c:pt>
                <c:pt idx="374">
                  <c:v>-4.7016400000000003</c:v>
                </c:pt>
                <c:pt idx="375">
                  <c:v>-4.8422499999999999</c:v>
                </c:pt>
                <c:pt idx="376">
                  <c:v>-4.9827500000000002</c:v>
                </c:pt>
                <c:pt idx="377">
                  <c:v>-5.1201800000000004</c:v>
                </c:pt>
                <c:pt idx="378">
                  <c:v>-5.2399899999999997</c:v>
                </c:pt>
                <c:pt idx="379">
                  <c:v>-5.3460700000000001</c:v>
                </c:pt>
                <c:pt idx="380">
                  <c:v>-5.4504700000000001</c:v>
                </c:pt>
                <c:pt idx="381">
                  <c:v>-5.5548400000000004</c:v>
                </c:pt>
                <c:pt idx="382">
                  <c:v>-5.6591800000000001</c:v>
                </c:pt>
                <c:pt idx="383">
                  <c:v>-5.7634800000000004</c:v>
                </c:pt>
                <c:pt idx="384">
                  <c:v>-5.86768</c:v>
                </c:pt>
                <c:pt idx="385">
                  <c:v>-5.9716300000000002</c:v>
                </c:pt>
                <c:pt idx="386">
                  <c:v>-6.0752800000000002</c:v>
                </c:pt>
                <c:pt idx="387">
                  <c:v>-6.1713100000000001</c:v>
                </c:pt>
                <c:pt idx="388">
                  <c:v>-6.2192299999999996</c:v>
                </c:pt>
                <c:pt idx="389">
                  <c:v>-6.2544500000000003</c:v>
                </c:pt>
                <c:pt idx="390">
                  <c:v>-6.2895099999999999</c:v>
                </c:pt>
                <c:pt idx="391">
                  <c:v>-6.3245399999999998</c:v>
                </c:pt>
                <c:pt idx="392">
                  <c:v>-6.3595300000000003</c:v>
                </c:pt>
                <c:pt idx="393">
                  <c:v>-6.3944799999999997</c:v>
                </c:pt>
                <c:pt idx="394">
                  <c:v>-6.4290700000000003</c:v>
                </c:pt>
                <c:pt idx="395">
                  <c:v>-6.4627800000000004</c:v>
                </c:pt>
                <c:pt idx="396">
                  <c:v>-6.4964399999999998</c:v>
                </c:pt>
                <c:pt idx="397">
                  <c:v>-6.5300399999999996</c:v>
                </c:pt>
                <c:pt idx="398">
                  <c:v>-6.5636000000000001</c:v>
                </c:pt>
                <c:pt idx="399">
                  <c:v>-6.5971299999999999</c:v>
                </c:pt>
                <c:pt idx="400">
                  <c:v>-6.4209500000000004</c:v>
                </c:pt>
                <c:pt idx="401">
                  <c:v>-6.2447299999999997</c:v>
                </c:pt>
                <c:pt idx="402">
                  <c:v>-6.06846</c:v>
                </c:pt>
                <c:pt idx="403">
                  <c:v>-5.8921599999999996</c:v>
                </c:pt>
                <c:pt idx="404">
                  <c:v>-5.7158100000000003</c:v>
                </c:pt>
                <c:pt idx="405">
                  <c:v>-5.53939</c:v>
                </c:pt>
                <c:pt idx="406">
                  <c:v>-5.3629300000000004</c:v>
                </c:pt>
                <c:pt idx="407">
                  <c:v>-5.1863700000000001</c:v>
                </c:pt>
                <c:pt idx="408">
                  <c:v>-5.0097300000000002</c:v>
                </c:pt>
                <c:pt idx="409">
                  <c:v>-4.8329899999999997</c:v>
                </c:pt>
                <c:pt idx="410">
                  <c:v>-4.6561500000000002</c:v>
                </c:pt>
                <c:pt idx="411">
                  <c:v>-4.4791999999999996</c:v>
                </c:pt>
                <c:pt idx="412">
                  <c:v>-4.3021200000000004</c:v>
                </c:pt>
                <c:pt idx="413">
                  <c:v>-4.1249099999999999</c:v>
                </c:pt>
                <c:pt idx="414">
                  <c:v>-3.94753</c:v>
                </c:pt>
                <c:pt idx="415">
                  <c:v>-3.7699600000000002</c:v>
                </c:pt>
                <c:pt idx="416">
                  <c:v>-3.5921400000000001</c:v>
                </c:pt>
                <c:pt idx="417">
                  <c:v>-3.4140000000000001</c:v>
                </c:pt>
                <c:pt idx="418">
                  <c:v>-3.2355100000000001</c:v>
                </c:pt>
                <c:pt idx="419">
                  <c:v>-3.0564300000000002</c:v>
                </c:pt>
                <c:pt idx="420">
                  <c:v>-2.8766099999999999</c:v>
                </c:pt>
                <c:pt idx="421">
                  <c:v>-2.69584</c:v>
                </c:pt>
                <c:pt idx="422">
                  <c:v>-2.5136599999999998</c:v>
                </c:pt>
                <c:pt idx="423">
                  <c:v>-2.3297300000000001</c:v>
                </c:pt>
                <c:pt idx="424">
                  <c:v>-2.1440299999999999</c:v>
                </c:pt>
                <c:pt idx="425">
                  <c:v>-1.9564600000000001</c:v>
                </c:pt>
                <c:pt idx="426">
                  <c:v>-1.7662800000000001</c:v>
                </c:pt>
                <c:pt idx="427">
                  <c:v>-1.57308</c:v>
                </c:pt>
                <c:pt idx="428">
                  <c:v>-1.37683</c:v>
                </c:pt>
                <c:pt idx="429">
                  <c:v>-1.19408</c:v>
                </c:pt>
                <c:pt idx="430">
                  <c:v>-1.0401499999999999</c:v>
                </c:pt>
                <c:pt idx="431">
                  <c:v>-0.88092000000000004</c:v>
                </c:pt>
                <c:pt idx="432">
                  <c:v>-0.71304699999999999</c:v>
                </c:pt>
                <c:pt idx="433">
                  <c:v>-0.53904099999999999</c:v>
                </c:pt>
                <c:pt idx="434">
                  <c:v>-0.36188700000000001</c:v>
                </c:pt>
                <c:pt idx="435">
                  <c:v>-0.18352299999999999</c:v>
                </c:pt>
                <c:pt idx="436">
                  <c:v>-5.0205500000000004E-3</c:v>
                </c:pt>
                <c:pt idx="437">
                  <c:v>0.17319499999999999</c:v>
                </c:pt>
                <c:pt idx="438">
                  <c:v>0.35090900000000003</c:v>
                </c:pt>
                <c:pt idx="439">
                  <c:v>0.52765099999999998</c:v>
                </c:pt>
                <c:pt idx="440">
                  <c:v>0.70289000000000001</c:v>
                </c:pt>
                <c:pt idx="441">
                  <c:v>0.86907800000000002</c:v>
                </c:pt>
                <c:pt idx="442">
                  <c:v>1.02515</c:v>
                </c:pt>
                <c:pt idx="443">
                  <c:v>1.1494200000000001</c:v>
                </c:pt>
                <c:pt idx="444">
                  <c:v>1.2633700000000001</c:v>
                </c:pt>
                <c:pt idx="445">
                  <c:v>1.3763700000000001</c:v>
                </c:pt>
                <c:pt idx="446">
                  <c:v>1.4834400000000001</c:v>
                </c:pt>
                <c:pt idx="447">
                  <c:v>1.5986</c:v>
                </c:pt>
                <c:pt idx="448">
                  <c:v>1.73648</c:v>
                </c:pt>
                <c:pt idx="449">
                  <c:v>1.9416899999999999</c:v>
                </c:pt>
                <c:pt idx="450">
                  <c:v>2.2018900000000001</c:v>
                </c:pt>
                <c:pt idx="451">
                  <c:v>2.4601999999999999</c:v>
                </c:pt>
                <c:pt idx="452">
                  <c:v>2.7142200000000001</c:v>
                </c:pt>
                <c:pt idx="453">
                  <c:v>2.9647700000000001</c:v>
                </c:pt>
                <c:pt idx="454">
                  <c:v>3.2121400000000002</c:v>
                </c:pt>
                <c:pt idx="455">
                  <c:v>3.4566699999999999</c:v>
                </c:pt>
                <c:pt idx="456">
                  <c:v>3.6992099999999999</c:v>
                </c:pt>
                <c:pt idx="457">
                  <c:v>3.9403000000000001</c:v>
                </c:pt>
                <c:pt idx="458">
                  <c:v>4.1801700000000004</c:v>
                </c:pt>
                <c:pt idx="459">
                  <c:v>4.4190500000000004</c:v>
                </c:pt>
                <c:pt idx="460">
                  <c:v>4.6573200000000003</c:v>
                </c:pt>
                <c:pt idx="461">
                  <c:v>4.8950800000000001</c:v>
                </c:pt>
                <c:pt idx="462">
                  <c:v>5.1322000000000001</c:v>
                </c:pt>
                <c:pt idx="463">
                  <c:v>5.36883</c:v>
                </c:pt>
                <c:pt idx="464">
                  <c:v>5.6050500000000003</c:v>
                </c:pt>
                <c:pt idx="465">
                  <c:v>5.8409599999999999</c:v>
                </c:pt>
                <c:pt idx="466">
                  <c:v>6.0766200000000001</c:v>
                </c:pt>
                <c:pt idx="467">
                  <c:v>6.3120599999999998</c:v>
                </c:pt>
                <c:pt idx="468">
                  <c:v>6.5472700000000001</c:v>
                </c:pt>
                <c:pt idx="469">
                  <c:v>6.7822800000000001</c:v>
                </c:pt>
                <c:pt idx="470">
                  <c:v>7.0171200000000002</c:v>
                </c:pt>
                <c:pt idx="471">
                  <c:v>7.2518700000000003</c:v>
                </c:pt>
                <c:pt idx="472">
                  <c:v>7.4864899999999999</c:v>
                </c:pt>
                <c:pt idx="473">
                  <c:v>7.7209599999999998</c:v>
                </c:pt>
                <c:pt idx="474">
                  <c:v>7.9553000000000003</c:v>
                </c:pt>
                <c:pt idx="475">
                  <c:v>8.1895500000000006</c:v>
                </c:pt>
                <c:pt idx="476">
                  <c:v>8.4237000000000002</c:v>
                </c:pt>
                <c:pt idx="477">
                  <c:v>8.6566600000000005</c:v>
                </c:pt>
                <c:pt idx="478">
                  <c:v>8.8597199999999994</c:v>
                </c:pt>
                <c:pt idx="479">
                  <c:v>8.9316499999999994</c:v>
                </c:pt>
                <c:pt idx="480">
                  <c:v>8.9827200000000005</c:v>
                </c:pt>
                <c:pt idx="481">
                  <c:v>9.0324500000000008</c:v>
                </c:pt>
                <c:pt idx="482">
                  <c:v>9.0802800000000001</c:v>
                </c:pt>
                <c:pt idx="483">
                  <c:v>9.1253100000000007</c:v>
                </c:pt>
                <c:pt idx="484">
                  <c:v>9.1657700000000002</c:v>
                </c:pt>
                <c:pt idx="485">
                  <c:v>9.2035900000000002</c:v>
                </c:pt>
                <c:pt idx="486">
                  <c:v>9.2391699999999997</c:v>
                </c:pt>
                <c:pt idx="487">
                  <c:v>9.2735800000000008</c:v>
                </c:pt>
                <c:pt idx="488">
                  <c:v>9.3070799999999991</c:v>
                </c:pt>
                <c:pt idx="489">
                  <c:v>9.33962</c:v>
                </c:pt>
                <c:pt idx="490">
                  <c:v>9.3712300000000006</c:v>
                </c:pt>
                <c:pt idx="491">
                  <c:v>9.40198</c:v>
                </c:pt>
                <c:pt idx="492">
                  <c:v>9.4305000000000003</c:v>
                </c:pt>
                <c:pt idx="493">
                  <c:v>9.4552399999999999</c:v>
                </c:pt>
                <c:pt idx="494">
                  <c:v>9.4682399999999998</c:v>
                </c:pt>
                <c:pt idx="495">
                  <c:v>9.4799600000000002</c:v>
                </c:pt>
                <c:pt idx="496">
                  <c:v>9.4912100000000006</c:v>
                </c:pt>
                <c:pt idx="497">
                  <c:v>9.5008400000000002</c:v>
                </c:pt>
                <c:pt idx="498">
                  <c:v>9.5096000000000007</c:v>
                </c:pt>
                <c:pt idx="499">
                  <c:v>9.5178899999999995</c:v>
                </c:pt>
                <c:pt idx="500">
                  <c:v>9.2368299999999994</c:v>
                </c:pt>
                <c:pt idx="501">
                  <c:v>8.9557500000000001</c:v>
                </c:pt>
                <c:pt idx="502">
                  <c:v>8.6746400000000001</c:v>
                </c:pt>
                <c:pt idx="503">
                  <c:v>8.3935999999999993</c:v>
                </c:pt>
                <c:pt idx="504">
                  <c:v>8.1125100000000003</c:v>
                </c:pt>
                <c:pt idx="505">
                  <c:v>7.8312900000000001</c:v>
                </c:pt>
                <c:pt idx="506">
                  <c:v>7.5498900000000004</c:v>
                </c:pt>
                <c:pt idx="507">
                  <c:v>7.2683099999999996</c:v>
                </c:pt>
                <c:pt idx="508">
                  <c:v>6.98658</c:v>
                </c:pt>
                <c:pt idx="509">
                  <c:v>6.70472</c:v>
                </c:pt>
                <c:pt idx="510">
                  <c:v>6.42265</c:v>
                </c:pt>
                <c:pt idx="511">
                  <c:v>6.14046</c:v>
                </c:pt>
                <c:pt idx="512">
                  <c:v>5.8579999999999997</c:v>
                </c:pt>
                <c:pt idx="513">
                  <c:v>5.5752300000000004</c:v>
                </c:pt>
                <c:pt idx="514">
                  <c:v>5.2919499999999999</c:v>
                </c:pt>
                <c:pt idx="515">
                  <c:v>5.0080499999999999</c:v>
                </c:pt>
                <c:pt idx="516">
                  <c:v>4.7233999999999998</c:v>
                </c:pt>
                <c:pt idx="517">
                  <c:v>4.4380300000000004</c:v>
                </c:pt>
                <c:pt idx="518">
                  <c:v>4.1517099999999996</c:v>
                </c:pt>
                <c:pt idx="519">
                  <c:v>3.86409</c:v>
                </c:pt>
                <c:pt idx="520">
                  <c:v>3.5747200000000001</c:v>
                </c:pt>
                <c:pt idx="521">
                  <c:v>3.2833700000000001</c:v>
                </c:pt>
                <c:pt idx="522">
                  <c:v>2.98855</c:v>
                </c:pt>
                <c:pt idx="523">
                  <c:v>2.6893600000000002</c:v>
                </c:pt>
                <c:pt idx="524">
                  <c:v>2.3855599999999999</c:v>
                </c:pt>
                <c:pt idx="525">
                  <c:v>2.0748500000000001</c:v>
                </c:pt>
                <c:pt idx="526">
                  <c:v>1.7544900000000001</c:v>
                </c:pt>
                <c:pt idx="527">
                  <c:v>1.43038</c:v>
                </c:pt>
                <c:pt idx="528">
                  <c:v>1.09975</c:v>
                </c:pt>
                <c:pt idx="529">
                  <c:v>0.73492800000000003</c:v>
                </c:pt>
                <c:pt idx="530">
                  <c:v>0.34202399999999999</c:v>
                </c:pt>
                <c:pt idx="531">
                  <c:v>-4.5517299999999997E-2</c:v>
                </c:pt>
                <c:pt idx="532">
                  <c:v>-0.391683</c:v>
                </c:pt>
                <c:pt idx="533">
                  <c:v>-0.62172499999999997</c:v>
                </c:pt>
                <c:pt idx="534">
                  <c:v>-0.82686999999999999</c:v>
                </c:pt>
                <c:pt idx="535">
                  <c:v>-1.0203199999999999</c:v>
                </c:pt>
                <c:pt idx="536">
                  <c:v>-1.2033700000000001</c:v>
                </c:pt>
                <c:pt idx="537">
                  <c:v>-1.3798699999999999</c:v>
                </c:pt>
                <c:pt idx="538">
                  <c:v>-1.5510900000000001</c:v>
                </c:pt>
                <c:pt idx="539">
                  <c:v>-1.7181</c:v>
                </c:pt>
                <c:pt idx="540">
                  <c:v>-1.88232</c:v>
                </c:pt>
                <c:pt idx="541">
                  <c:v>-2.0445700000000002</c:v>
                </c:pt>
                <c:pt idx="542">
                  <c:v>-2.2053799999999999</c:v>
                </c:pt>
                <c:pt idx="543">
                  <c:v>-2.3650099999999998</c:v>
                </c:pt>
                <c:pt idx="544">
                  <c:v>-2.5235799999999999</c:v>
                </c:pt>
                <c:pt idx="545">
                  <c:v>-2.6808100000000001</c:v>
                </c:pt>
                <c:pt idx="546">
                  <c:v>-2.8317999999999999</c:v>
                </c:pt>
                <c:pt idx="547">
                  <c:v>-2.9773299999999998</c:v>
                </c:pt>
                <c:pt idx="548">
                  <c:v>-3.12174</c:v>
                </c:pt>
                <c:pt idx="549">
                  <c:v>-3.23766</c:v>
                </c:pt>
                <c:pt idx="550">
                  <c:v>-3.3294100000000002</c:v>
                </c:pt>
                <c:pt idx="551">
                  <c:v>-3.4211</c:v>
                </c:pt>
                <c:pt idx="552">
                  <c:v>-3.5093000000000001</c:v>
                </c:pt>
                <c:pt idx="553">
                  <c:v>-3.5891199999999999</c:v>
                </c:pt>
                <c:pt idx="554">
                  <c:v>-3.6586599999999998</c:v>
                </c:pt>
                <c:pt idx="555">
                  <c:v>-3.7274699999999998</c:v>
                </c:pt>
                <c:pt idx="556">
                  <c:v>-3.7962600000000002</c:v>
                </c:pt>
                <c:pt idx="557">
                  <c:v>-3.86503</c:v>
                </c:pt>
                <c:pt idx="558">
                  <c:v>-3.9337900000000001</c:v>
                </c:pt>
                <c:pt idx="559">
                  <c:v>-4.0025399999999998</c:v>
                </c:pt>
                <c:pt idx="560">
                  <c:v>-4.0712700000000002</c:v>
                </c:pt>
                <c:pt idx="561">
                  <c:v>-4.1207200000000004</c:v>
                </c:pt>
                <c:pt idx="562">
                  <c:v>-4.1678600000000001</c:v>
                </c:pt>
                <c:pt idx="563">
                  <c:v>-4.2149999999999999</c:v>
                </c:pt>
                <c:pt idx="564">
                  <c:v>-4.2621399999999996</c:v>
                </c:pt>
                <c:pt idx="565">
                  <c:v>-4.3092699999999997</c:v>
                </c:pt>
                <c:pt idx="566">
                  <c:v>-4.3563999999999998</c:v>
                </c:pt>
                <c:pt idx="567">
                  <c:v>-4.41629</c:v>
                </c:pt>
                <c:pt idx="568">
                  <c:v>-4.4979800000000001</c:v>
                </c:pt>
                <c:pt idx="569">
                  <c:v>-4.5892200000000001</c:v>
                </c:pt>
                <c:pt idx="570">
                  <c:v>-4.6820700000000004</c:v>
                </c:pt>
                <c:pt idx="571">
                  <c:v>-4.7517699999999996</c:v>
                </c:pt>
                <c:pt idx="572">
                  <c:v>-4.8211000000000004</c:v>
                </c:pt>
                <c:pt idx="573">
                  <c:v>-4.9321400000000004</c:v>
                </c:pt>
                <c:pt idx="574">
                  <c:v>-5.0691699999999997</c:v>
                </c:pt>
                <c:pt idx="575">
                  <c:v>-5.2120899999999999</c:v>
                </c:pt>
                <c:pt idx="576">
                  <c:v>-5.3580399999999999</c:v>
                </c:pt>
                <c:pt idx="577">
                  <c:v>-5.5064599999999997</c:v>
                </c:pt>
                <c:pt idx="578">
                  <c:v>-5.6570999999999998</c:v>
                </c:pt>
                <c:pt idx="579">
                  <c:v>-5.8065800000000003</c:v>
                </c:pt>
                <c:pt idx="580">
                  <c:v>-5.8921900000000003</c:v>
                </c:pt>
                <c:pt idx="581">
                  <c:v>-5.9447099999999997</c:v>
                </c:pt>
                <c:pt idx="582">
                  <c:v>-5.9943</c:v>
                </c:pt>
                <c:pt idx="583">
                  <c:v>-6.0434999999999999</c:v>
                </c:pt>
                <c:pt idx="584">
                  <c:v>-6.0866300000000004</c:v>
                </c:pt>
                <c:pt idx="585">
                  <c:v>-6.1056100000000004</c:v>
                </c:pt>
                <c:pt idx="586">
                  <c:v>-6.1228699999999998</c:v>
                </c:pt>
                <c:pt idx="587">
                  <c:v>-6.1376999999999997</c:v>
                </c:pt>
                <c:pt idx="588">
                  <c:v>-6.1525100000000004</c:v>
                </c:pt>
                <c:pt idx="589">
                  <c:v>-6.1672900000000004</c:v>
                </c:pt>
                <c:pt idx="590">
                  <c:v>-6.18208</c:v>
                </c:pt>
                <c:pt idx="591">
                  <c:v>-6.19686</c:v>
                </c:pt>
                <c:pt idx="592">
                  <c:v>-6.2116400000000001</c:v>
                </c:pt>
                <c:pt idx="593">
                  <c:v>-6.2263900000000003</c:v>
                </c:pt>
                <c:pt idx="594">
                  <c:v>-6.2411199999999996</c:v>
                </c:pt>
                <c:pt idx="595">
                  <c:v>-6.2558199999999999</c:v>
                </c:pt>
                <c:pt idx="596">
                  <c:v>-6.2704899999999997</c:v>
                </c:pt>
                <c:pt idx="597">
                  <c:v>-6.2851400000000002</c:v>
                </c:pt>
                <c:pt idx="598">
                  <c:v>-6.29976</c:v>
                </c:pt>
                <c:pt idx="599">
                  <c:v>-6.3143599999999998</c:v>
                </c:pt>
                <c:pt idx="600">
                  <c:v>-6.0720299999999998</c:v>
                </c:pt>
                <c:pt idx="601">
                  <c:v>-5.8296999999999999</c:v>
                </c:pt>
                <c:pt idx="602">
                  <c:v>-5.5872799999999998</c:v>
                </c:pt>
                <c:pt idx="603">
                  <c:v>-5.3447100000000001</c:v>
                </c:pt>
                <c:pt idx="604">
                  <c:v>-5.1022999999999996</c:v>
                </c:pt>
                <c:pt idx="605">
                  <c:v>-4.8620900000000002</c:v>
                </c:pt>
                <c:pt idx="606">
                  <c:v>-4.6234799999999998</c:v>
                </c:pt>
                <c:pt idx="607">
                  <c:v>-4.3852799999999998</c:v>
                </c:pt>
                <c:pt idx="608">
                  <c:v>-4.1476600000000001</c:v>
                </c:pt>
                <c:pt idx="609">
                  <c:v>-3.9108800000000001</c:v>
                </c:pt>
                <c:pt idx="610">
                  <c:v>-3.6748099999999999</c:v>
                </c:pt>
                <c:pt idx="611">
                  <c:v>-3.43946</c:v>
                </c:pt>
                <c:pt idx="612">
                  <c:v>-3.2120299999999999</c:v>
                </c:pt>
                <c:pt idx="613">
                  <c:v>-2.9884499999999998</c:v>
                </c:pt>
                <c:pt idx="614">
                  <c:v>-2.7850000000000001</c:v>
                </c:pt>
                <c:pt idx="615">
                  <c:v>-2.5857399999999999</c:v>
                </c:pt>
                <c:pt idx="616">
                  <c:v>-2.3879199999999998</c:v>
                </c:pt>
                <c:pt idx="617">
                  <c:v>-2.19537</c:v>
                </c:pt>
                <c:pt idx="618">
                  <c:v>-2.0066999999999999</c:v>
                </c:pt>
                <c:pt idx="619">
                  <c:v>-1.8168599999999999</c:v>
                </c:pt>
                <c:pt idx="620">
                  <c:v>-1.62409</c:v>
                </c:pt>
                <c:pt idx="621">
                  <c:v>-1.42658</c:v>
                </c:pt>
                <c:pt idx="622">
                  <c:v>-1.2222200000000001</c:v>
                </c:pt>
                <c:pt idx="623">
                  <c:v>-1.00918</c:v>
                </c:pt>
                <c:pt idx="624">
                  <c:v>-0.78137299999999998</c:v>
                </c:pt>
                <c:pt idx="625">
                  <c:v>-0.53898100000000004</c:v>
                </c:pt>
                <c:pt idx="626">
                  <c:v>-0.29042000000000001</c:v>
                </c:pt>
                <c:pt idx="627">
                  <c:v>-4.1155499999999998E-2</c:v>
                </c:pt>
                <c:pt idx="628">
                  <c:v>0.207645</c:v>
                </c:pt>
                <c:pt idx="629">
                  <c:v>0.45486199999999999</c:v>
                </c:pt>
                <c:pt idx="630">
                  <c:v>0.69966600000000001</c:v>
                </c:pt>
                <c:pt idx="631">
                  <c:v>0.93532700000000002</c:v>
                </c:pt>
                <c:pt idx="632">
                  <c:v>1.10995</c:v>
                </c:pt>
                <c:pt idx="633">
                  <c:v>1.25905</c:v>
                </c:pt>
                <c:pt idx="634">
                  <c:v>1.4053899999999999</c:v>
                </c:pt>
                <c:pt idx="635">
                  <c:v>1.5510999999999999</c:v>
                </c:pt>
                <c:pt idx="636">
                  <c:v>1.6970700000000001</c:v>
                </c:pt>
                <c:pt idx="637">
                  <c:v>1.8430800000000001</c:v>
                </c:pt>
                <c:pt idx="638">
                  <c:v>1.98811</c:v>
                </c:pt>
                <c:pt idx="639">
                  <c:v>2.1322000000000001</c:v>
                </c:pt>
                <c:pt idx="640">
                  <c:v>2.2755299999999998</c:v>
                </c:pt>
                <c:pt idx="641">
                  <c:v>2.4182299999999999</c:v>
                </c:pt>
                <c:pt idx="642">
                  <c:v>2.5603199999999999</c:v>
                </c:pt>
                <c:pt idx="643">
                  <c:v>2.7018800000000001</c:v>
                </c:pt>
                <c:pt idx="644">
                  <c:v>2.8429700000000002</c:v>
                </c:pt>
                <c:pt idx="645">
                  <c:v>2.9836800000000001</c:v>
                </c:pt>
                <c:pt idx="646">
                  <c:v>3.1164800000000001</c:v>
                </c:pt>
                <c:pt idx="647">
                  <c:v>3.2402199999999999</c:v>
                </c:pt>
                <c:pt idx="648">
                  <c:v>3.3241499999999999</c:v>
                </c:pt>
                <c:pt idx="649">
                  <c:v>3.38605</c:v>
                </c:pt>
                <c:pt idx="650">
                  <c:v>3.4409900000000002</c:v>
                </c:pt>
                <c:pt idx="651">
                  <c:v>3.4867400000000002</c:v>
                </c:pt>
                <c:pt idx="652">
                  <c:v>3.5318200000000002</c:v>
                </c:pt>
                <c:pt idx="653">
                  <c:v>3.5769000000000002</c:v>
                </c:pt>
                <c:pt idx="654">
                  <c:v>3.6219700000000001</c:v>
                </c:pt>
                <c:pt idx="655">
                  <c:v>3.66703</c:v>
                </c:pt>
                <c:pt idx="656">
                  <c:v>3.7120799999999998</c:v>
                </c:pt>
                <c:pt idx="657">
                  <c:v>3.7571300000000001</c:v>
                </c:pt>
                <c:pt idx="658">
                  <c:v>3.80599</c:v>
                </c:pt>
                <c:pt idx="659">
                  <c:v>3.91656</c:v>
                </c:pt>
                <c:pt idx="660">
                  <c:v>4.2020999999999997</c:v>
                </c:pt>
                <c:pt idx="661">
                  <c:v>4.5162199999999997</c:v>
                </c:pt>
                <c:pt idx="662">
                  <c:v>4.8355199999999998</c:v>
                </c:pt>
                <c:pt idx="663">
                  <c:v>5.1532</c:v>
                </c:pt>
                <c:pt idx="664">
                  <c:v>5.4576599999999997</c:v>
                </c:pt>
                <c:pt idx="665">
                  <c:v>5.7531400000000001</c:v>
                </c:pt>
                <c:pt idx="666">
                  <c:v>6.0172999999999996</c:v>
                </c:pt>
                <c:pt idx="667">
                  <c:v>6.22865</c:v>
                </c:pt>
                <c:pt idx="668">
                  <c:v>6.4092399999999996</c:v>
                </c:pt>
                <c:pt idx="669">
                  <c:v>6.5822099999999999</c:v>
                </c:pt>
                <c:pt idx="670">
                  <c:v>6.7485299999999997</c:v>
                </c:pt>
                <c:pt idx="671">
                  <c:v>6.9072199999999997</c:v>
                </c:pt>
                <c:pt idx="672">
                  <c:v>7.0640900000000002</c:v>
                </c:pt>
                <c:pt idx="673">
                  <c:v>7.2208899999999998</c:v>
                </c:pt>
                <c:pt idx="674">
                  <c:v>7.3776400000000004</c:v>
                </c:pt>
                <c:pt idx="675">
                  <c:v>7.5343400000000003</c:v>
                </c:pt>
                <c:pt idx="676">
                  <c:v>7.69095</c:v>
                </c:pt>
                <c:pt idx="677">
                  <c:v>7.8475000000000001</c:v>
                </c:pt>
                <c:pt idx="678">
                  <c:v>8.0039999999999996</c:v>
                </c:pt>
                <c:pt idx="679">
                  <c:v>8.1604600000000005</c:v>
                </c:pt>
                <c:pt idx="680">
                  <c:v>8.3168699999999998</c:v>
                </c:pt>
                <c:pt idx="681">
                  <c:v>8.4716699999999996</c:v>
                </c:pt>
                <c:pt idx="682">
                  <c:v>8.5829400000000007</c:v>
                </c:pt>
                <c:pt idx="683">
                  <c:v>8.6483500000000006</c:v>
                </c:pt>
                <c:pt idx="684">
                  <c:v>8.7078500000000005</c:v>
                </c:pt>
                <c:pt idx="685">
                  <c:v>8.7673299999999994</c:v>
                </c:pt>
                <c:pt idx="686">
                  <c:v>8.82681</c:v>
                </c:pt>
                <c:pt idx="687">
                  <c:v>8.8862299999999994</c:v>
                </c:pt>
                <c:pt idx="688">
                  <c:v>8.9456199999999999</c:v>
                </c:pt>
                <c:pt idx="689">
                  <c:v>9.0048700000000004</c:v>
                </c:pt>
                <c:pt idx="690">
                  <c:v>9.0625300000000006</c:v>
                </c:pt>
                <c:pt idx="691">
                  <c:v>9.1153999999999993</c:v>
                </c:pt>
                <c:pt idx="692">
                  <c:v>9.16371</c:v>
                </c:pt>
                <c:pt idx="693">
                  <c:v>9.2079199999999997</c:v>
                </c:pt>
                <c:pt idx="694">
                  <c:v>9.2495799999999999</c:v>
                </c:pt>
                <c:pt idx="695">
                  <c:v>9.2888400000000004</c:v>
                </c:pt>
                <c:pt idx="696">
                  <c:v>9.3240700000000007</c:v>
                </c:pt>
                <c:pt idx="697">
                  <c:v>9.3577200000000005</c:v>
                </c:pt>
                <c:pt idx="698">
                  <c:v>9.3902300000000007</c:v>
                </c:pt>
                <c:pt idx="699">
                  <c:v>9.4082299999999996</c:v>
                </c:pt>
                <c:pt idx="700">
                  <c:v>9.0399200000000004</c:v>
                </c:pt>
                <c:pt idx="701">
                  <c:v>8.6716300000000004</c:v>
                </c:pt>
                <c:pt idx="702">
                  <c:v>8.3033099999999997</c:v>
                </c:pt>
                <c:pt idx="703">
                  <c:v>7.93492</c:v>
                </c:pt>
                <c:pt idx="704">
                  <c:v>7.5666599999999997</c:v>
                </c:pt>
                <c:pt idx="705">
                  <c:v>7.1991800000000001</c:v>
                </c:pt>
                <c:pt idx="706">
                  <c:v>6.8315999999999999</c:v>
                </c:pt>
                <c:pt idx="707">
                  <c:v>6.4636800000000001</c:v>
                </c:pt>
                <c:pt idx="708">
                  <c:v>6.0952400000000004</c:v>
                </c:pt>
                <c:pt idx="709">
                  <c:v>5.7264499999999998</c:v>
                </c:pt>
                <c:pt idx="710">
                  <c:v>5.3571299999999997</c:v>
                </c:pt>
                <c:pt idx="711">
                  <c:v>4.9872100000000001</c:v>
                </c:pt>
                <c:pt idx="712">
                  <c:v>4.6166400000000003</c:v>
                </c:pt>
                <c:pt idx="713">
                  <c:v>4.2467600000000001</c:v>
                </c:pt>
                <c:pt idx="714">
                  <c:v>3.8752900000000001</c:v>
                </c:pt>
                <c:pt idx="715">
                  <c:v>3.5025900000000001</c:v>
                </c:pt>
                <c:pt idx="716">
                  <c:v>3.12784</c:v>
                </c:pt>
                <c:pt idx="717">
                  <c:v>2.74675</c:v>
                </c:pt>
                <c:pt idx="718">
                  <c:v>2.3581799999999999</c:v>
                </c:pt>
                <c:pt idx="719">
                  <c:v>1.96048</c:v>
                </c:pt>
                <c:pt idx="720">
                  <c:v>1.55488</c:v>
                </c:pt>
                <c:pt idx="721">
                  <c:v>1.1513</c:v>
                </c:pt>
                <c:pt idx="722">
                  <c:v>0.70417099999999999</c:v>
                </c:pt>
                <c:pt idx="723">
                  <c:v>0.252641</c:v>
                </c:pt>
                <c:pt idx="724">
                  <c:v>-0.150809</c:v>
                </c:pt>
                <c:pt idx="725">
                  <c:v>-0.46469100000000002</c:v>
                </c:pt>
                <c:pt idx="726">
                  <c:v>-0.74497100000000005</c:v>
                </c:pt>
                <c:pt idx="727">
                  <c:v>-1.00678</c:v>
                </c:pt>
                <c:pt idx="728">
                  <c:v>-1.2496799999999999</c:v>
                </c:pt>
                <c:pt idx="729">
                  <c:v>-1.48169</c:v>
                </c:pt>
                <c:pt idx="730">
                  <c:v>-1.7054</c:v>
                </c:pt>
                <c:pt idx="731">
                  <c:v>-1.92394</c:v>
                </c:pt>
                <c:pt idx="732">
                  <c:v>-2.1394199999999999</c:v>
                </c:pt>
                <c:pt idx="733">
                  <c:v>-2.3526600000000002</c:v>
                </c:pt>
                <c:pt idx="734">
                  <c:v>-2.5638700000000001</c:v>
                </c:pt>
                <c:pt idx="735">
                  <c:v>-2.77352</c:v>
                </c:pt>
                <c:pt idx="736">
                  <c:v>-2.9703400000000002</c:v>
                </c:pt>
                <c:pt idx="737">
                  <c:v>-3.1611099999999999</c:v>
                </c:pt>
                <c:pt idx="738">
                  <c:v>-3.3002699999999998</c:v>
                </c:pt>
                <c:pt idx="739">
                  <c:v>-3.4104800000000002</c:v>
                </c:pt>
                <c:pt idx="740">
                  <c:v>-3.5104899999999999</c:v>
                </c:pt>
                <c:pt idx="741">
                  <c:v>-3.6072899999999999</c:v>
                </c:pt>
                <c:pt idx="742">
                  <c:v>-3.7002700000000002</c:v>
                </c:pt>
                <c:pt idx="743">
                  <c:v>-3.7731400000000002</c:v>
                </c:pt>
                <c:pt idx="744">
                  <c:v>-3.8360400000000001</c:v>
                </c:pt>
                <c:pt idx="745">
                  <c:v>-3.8989199999999999</c:v>
                </c:pt>
                <c:pt idx="746">
                  <c:v>-3.9618000000000002</c:v>
                </c:pt>
                <c:pt idx="747">
                  <c:v>-4.0246599999999999</c:v>
                </c:pt>
                <c:pt idx="748">
                  <c:v>-4.0875300000000001</c:v>
                </c:pt>
                <c:pt idx="749">
                  <c:v>-4.1503800000000002</c:v>
                </c:pt>
                <c:pt idx="750">
                  <c:v>-4.2132300000000003</c:v>
                </c:pt>
                <c:pt idx="751">
                  <c:v>-4.2760699999999998</c:v>
                </c:pt>
                <c:pt idx="752">
                  <c:v>-4.3360599999999998</c:v>
                </c:pt>
                <c:pt idx="753">
                  <c:v>-4.3922299999999996</c:v>
                </c:pt>
                <c:pt idx="754">
                  <c:v>-4.4469099999999999</c:v>
                </c:pt>
                <c:pt idx="755">
                  <c:v>-4.4953000000000003</c:v>
                </c:pt>
                <c:pt idx="756">
                  <c:v>-4.5296900000000004</c:v>
                </c:pt>
                <c:pt idx="757">
                  <c:v>-4.5614299999999997</c:v>
                </c:pt>
                <c:pt idx="758">
                  <c:v>-4.59267</c:v>
                </c:pt>
                <c:pt idx="759">
                  <c:v>-4.6226599999999998</c:v>
                </c:pt>
                <c:pt idx="760">
                  <c:v>-4.6447000000000003</c:v>
                </c:pt>
                <c:pt idx="761">
                  <c:v>-4.65944</c:v>
                </c:pt>
                <c:pt idx="762">
                  <c:v>-4.6716899999999999</c:v>
                </c:pt>
                <c:pt idx="763">
                  <c:v>-4.6832599999999998</c:v>
                </c:pt>
                <c:pt idx="764">
                  <c:v>-4.6932700000000001</c:v>
                </c:pt>
                <c:pt idx="765">
                  <c:v>-4.7032800000000003</c:v>
                </c:pt>
                <c:pt idx="766">
                  <c:v>-4.7132899999999998</c:v>
                </c:pt>
                <c:pt idx="767">
                  <c:v>-4.7251399999999997</c:v>
                </c:pt>
                <c:pt idx="768">
                  <c:v>-4.7484000000000002</c:v>
                </c:pt>
                <c:pt idx="769">
                  <c:v>-4.7793700000000001</c:v>
                </c:pt>
                <c:pt idx="770">
                  <c:v>-4.8215500000000002</c:v>
                </c:pt>
                <c:pt idx="771">
                  <c:v>-4.8761999999999999</c:v>
                </c:pt>
                <c:pt idx="772">
                  <c:v>-4.9355099999999998</c:v>
                </c:pt>
                <c:pt idx="773">
                  <c:v>-4.9966100000000004</c:v>
                </c:pt>
                <c:pt idx="774">
                  <c:v>-5.0592699999999997</c:v>
                </c:pt>
                <c:pt idx="775">
                  <c:v>-5.1627000000000001</c:v>
                </c:pt>
                <c:pt idx="776">
                  <c:v>-5.3249899999999997</c:v>
                </c:pt>
                <c:pt idx="777">
                  <c:v>-5.4581499999999998</c:v>
                </c:pt>
                <c:pt idx="778">
                  <c:v>-5.5596800000000002</c:v>
                </c:pt>
                <c:pt idx="779">
                  <c:v>-5.6315600000000003</c:v>
                </c:pt>
                <c:pt idx="780">
                  <c:v>-5.6981099999999998</c:v>
                </c:pt>
                <c:pt idx="781">
                  <c:v>-5.7652400000000004</c:v>
                </c:pt>
                <c:pt idx="782">
                  <c:v>-5.8329199999999997</c:v>
                </c:pt>
                <c:pt idx="783">
                  <c:v>-5.9011300000000002</c:v>
                </c:pt>
                <c:pt idx="784">
                  <c:v>-5.9696499999999997</c:v>
                </c:pt>
                <c:pt idx="785">
                  <c:v>-6.0384599999999997</c:v>
                </c:pt>
                <c:pt idx="786">
                  <c:v>-6.1025999999999998</c:v>
                </c:pt>
                <c:pt idx="787">
                  <c:v>-6.1329799999999999</c:v>
                </c:pt>
                <c:pt idx="788">
                  <c:v>-6.1571999999999996</c:v>
                </c:pt>
                <c:pt idx="789">
                  <c:v>-6.1813799999999999</c:v>
                </c:pt>
                <c:pt idx="790">
                  <c:v>-6.2009499999999997</c:v>
                </c:pt>
                <c:pt idx="791">
                  <c:v>-6.2204499999999996</c:v>
                </c:pt>
                <c:pt idx="792">
                  <c:v>-6.2399199999999997</c:v>
                </c:pt>
                <c:pt idx="793">
                  <c:v>-6.2593199999999998</c:v>
                </c:pt>
                <c:pt idx="794">
                  <c:v>-6.2786299999999997</c:v>
                </c:pt>
                <c:pt idx="795">
                  <c:v>-6.2978500000000004</c:v>
                </c:pt>
                <c:pt idx="796">
                  <c:v>-6.3169599999999999</c:v>
                </c:pt>
                <c:pt idx="797">
                  <c:v>-6.3360399999999997</c:v>
                </c:pt>
                <c:pt idx="798">
                  <c:v>-6.3550899999999997</c:v>
                </c:pt>
                <c:pt idx="799">
                  <c:v>-6.3741399999999997</c:v>
                </c:pt>
                <c:pt idx="800">
                  <c:v>-6.0627199999999997</c:v>
                </c:pt>
                <c:pt idx="801">
                  <c:v>-5.7546099999999996</c:v>
                </c:pt>
                <c:pt idx="802">
                  <c:v>-5.4484700000000004</c:v>
                </c:pt>
                <c:pt idx="803">
                  <c:v>-5.14236</c:v>
                </c:pt>
                <c:pt idx="804">
                  <c:v>-4.8363899999999997</c:v>
                </c:pt>
                <c:pt idx="805">
                  <c:v>-4.5307899999999997</c:v>
                </c:pt>
                <c:pt idx="806">
                  <c:v>-4.2259099999999998</c:v>
                </c:pt>
                <c:pt idx="807">
                  <c:v>-3.9214099999999998</c:v>
                </c:pt>
                <c:pt idx="808">
                  <c:v>-3.61809</c:v>
                </c:pt>
                <c:pt idx="809">
                  <c:v>-3.3153000000000001</c:v>
                </c:pt>
                <c:pt idx="810">
                  <c:v>-3.0251299999999999</c:v>
                </c:pt>
                <c:pt idx="811">
                  <c:v>-2.7351899999999998</c:v>
                </c:pt>
                <c:pt idx="812">
                  <c:v>-2.4701</c:v>
                </c:pt>
                <c:pt idx="813">
                  <c:v>-2.21096</c:v>
                </c:pt>
                <c:pt idx="814">
                  <c:v>-1.95583</c:v>
                </c:pt>
                <c:pt idx="815">
                  <c:v>-1.70845</c:v>
                </c:pt>
                <c:pt idx="816">
                  <c:v>-1.4563299999999999</c:v>
                </c:pt>
                <c:pt idx="817">
                  <c:v>-1.1934499999999999</c:v>
                </c:pt>
                <c:pt idx="818">
                  <c:v>-0.91484900000000002</c:v>
                </c:pt>
                <c:pt idx="819">
                  <c:v>-0.61060599999999998</c:v>
                </c:pt>
                <c:pt idx="820">
                  <c:v>-0.29213299999999998</c:v>
                </c:pt>
                <c:pt idx="821">
                  <c:v>2.8342599999999999E-2</c:v>
                </c:pt>
                <c:pt idx="822">
                  <c:v>0.34775299999999998</c:v>
                </c:pt>
                <c:pt idx="823">
                  <c:v>0.66407799999999995</c:v>
                </c:pt>
                <c:pt idx="824">
                  <c:v>0.96762800000000004</c:v>
                </c:pt>
                <c:pt idx="825">
                  <c:v>1.1712400000000001</c:v>
                </c:pt>
                <c:pt idx="826">
                  <c:v>1.3608800000000001</c:v>
                </c:pt>
                <c:pt idx="827">
                  <c:v>1.5487</c:v>
                </c:pt>
                <c:pt idx="828">
                  <c:v>1.7367300000000001</c:v>
                </c:pt>
                <c:pt idx="829">
                  <c:v>1.92422</c:v>
                </c:pt>
                <c:pt idx="830">
                  <c:v>2.1100099999999999</c:v>
                </c:pt>
                <c:pt idx="831">
                  <c:v>2.29454</c:v>
                </c:pt>
                <c:pt idx="832">
                  <c:v>2.4779399999999998</c:v>
                </c:pt>
                <c:pt idx="833">
                  <c:v>2.6603699999999999</c:v>
                </c:pt>
                <c:pt idx="834">
                  <c:v>2.8420100000000001</c:v>
                </c:pt>
                <c:pt idx="835">
                  <c:v>3.02291</c:v>
                </c:pt>
                <c:pt idx="836">
                  <c:v>3.1865899999999998</c:v>
                </c:pt>
                <c:pt idx="837">
                  <c:v>3.3017500000000002</c:v>
                </c:pt>
                <c:pt idx="838">
                  <c:v>3.3798300000000001</c:v>
                </c:pt>
                <c:pt idx="839">
                  <c:v>3.4408300000000001</c:v>
                </c:pt>
                <c:pt idx="840">
                  <c:v>3.4988199999999998</c:v>
                </c:pt>
                <c:pt idx="841">
                  <c:v>3.5567899999999999</c:v>
                </c:pt>
                <c:pt idx="842">
                  <c:v>3.6147499999999999</c:v>
                </c:pt>
                <c:pt idx="843">
                  <c:v>3.6726899999999998</c:v>
                </c:pt>
                <c:pt idx="844">
                  <c:v>3.7306300000000001</c:v>
                </c:pt>
                <c:pt idx="845">
                  <c:v>3.7885499999999999</c:v>
                </c:pt>
                <c:pt idx="846">
                  <c:v>3.84646</c:v>
                </c:pt>
                <c:pt idx="847">
                  <c:v>3.9043600000000001</c:v>
                </c:pt>
                <c:pt idx="848">
                  <c:v>3.96225</c:v>
                </c:pt>
                <c:pt idx="849">
                  <c:v>4.0201399999999996</c:v>
                </c:pt>
                <c:pt idx="850">
                  <c:v>4.0780099999999999</c:v>
                </c:pt>
                <c:pt idx="851">
                  <c:v>4.1356799999999998</c:v>
                </c:pt>
                <c:pt idx="852">
                  <c:v>4.1918100000000003</c:v>
                </c:pt>
                <c:pt idx="853">
                  <c:v>4.2453099999999999</c:v>
                </c:pt>
                <c:pt idx="854">
                  <c:v>4.2953099999999997</c:v>
                </c:pt>
                <c:pt idx="855">
                  <c:v>4.3449600000000004</c:v>
                </c:pt>
                <c:pt idx="856">
                  <c:v>4.3925200000000002</c:v>
                </c:pt>
                <c:pt idx="857">
                  <c:v>4.4322800000000004</c:v>
                </c:pt>
                <c:pt idx="858">
                  <c:v>4.4818899999999999</c:v>
                </c:pt>
                <c:pt idx="859">
                  <c:v>4.5709099999999996</c:v>
                </c:pt>
                <c:pt idx="860">
                  <c:v>4.6859200000000003</c:v>
                </c:pt>
                <c:pt idx="861">
                  <c:v>4.9421200000000001</c:v>
                </c:pt>
                <c:pt idx="862">
                  <c:v>5.1670499999999997</c:v>
                </c:pt>
                <c:pt idx="863">
                  <c:v>5.3829099999999999</c:v>
                </c:pt>
                <c:pt idx="864">
                  <c:v>5.5896100000000004</c:v>
                </c:pt>
                <c:pt idx="865">
                  <c:v>5.7871600000000001</c:v>
                </c:pt>
                <c:pt idx="866">
                  <c:v>5.9848100000000004</c:v>
                </c:pt>
                <c:pt idx="867">
                  <c:v>6.1824500000000002</c:v>
                </c:pt>
                <c:pt idx="868">
                  <c:v>6.38002</c:v>
                </c:pt>
                <c:pt idx="869">
                  <c:v>6.5775699999999997</c:v>
                </c:pt>
                <c:pt idx="870">
                  <c:v>6.7750300000000001</c:v>
                </c:pt>
                <c:pt idx="871">
                  <c:v>6.9724599999999999</c:v>
                </c:pt>
                <c:pt idx="872">
                  <c:v>7.16981</c:v>
                </c:pt>
                <c:pt idx="873">
                  <c:v>7.3670600000000004</c:v>
                </c:pt>
                <c:pt idx="874">
                  <c:v>7.5642500000000004</c:v>
                </c:pt>
                <c:pt idx="875">
                  <c:v>7.7549900000000003</c:v>
                </c:pt>
                <c:pt idx="876">
                  <c:v>7.9032299999999998</c:v>
                </c:pt>
                <c:pt idx="877">
                  <c:v>8.0226400000000009</c:v>
                </c:pt>
                <c:pt idx="878">
                  <c:v>8.1327599999999993</c:v>
                </c:pt>
                <c:pt idx="879">
                  <c:v>8.22912</c:v>
                </c:pt>
                <c:pt idx="880">
                  <c:v>8.3094999999999999</c:v>
                </c:pt>
                <c:pt idx="881">
                  <c:v>8.38809</c:v>
                </c:pt>
                <c:pt idx="882">
                  <c:v>8.4614999999999991</c:v>
                </c:pt>
                <c:pt idx="883">
                  <c:v>8.5349000000000004</c:v>
                </c:pt>
                <c:pt idx="884">
                  <c:v>8.6082999999999998</c:v>
                </c:pt>
                <c:pt idx="885">
                  <c:v>8.6816600000000008</c:v>
                </c:pt>
                <c:pt idx="886">
                  <c:v>8.7549799999999998</c:v>
                </c:pt>
                <c:pt idx="887">
                  <c:v>8.8282500000000006</c:v>
                </c:pt>
                <c:pt idx="888">
                  <c:v>8.90151</c:v>
                </c:pt>
                <c:pt idx="889">
                  <c:v>8.9747699999999995</c:v>
                </c:pt>
                <c:pt idx="890">
                  <c:v>9.0473599999999994</c:v>
                </c:pt>
                <c:pt idx="891">
                  <c:v>9.1077999999999992</c:v>
                </c:pt>
                <c:pt idx="892">
                  <c:v>9.1574000000000009</c:v>
                </c:pt>
                <c:pt idx="893">
                  <c:v>9.2005800000000004</c:v>
                </c:pt>
                <c:pt idx="894">
                  <c:v>9.2403099999999991</c:v>
                </c:pt>
                <c:pt idx="895">
                  <c:v>9.2784999999999993</c:v>
                </c:pt>
                <c:pt idx="896">
                  <c:v>9.3149300000000004</c:v>
                </c:pt>
                <c:pt idx="897">
                  <c:v>9.3503600000000002</c:v>
                </c:pt>
                <c:pt idx="898">
                  <c:v>9.3849300000000007</c:v>
                </c:pt>
                <c:pt idx="899">
                  <c:v>9.4183599999999998</c:v>
                </c:pt>
                <c:pt idx="900">
                  <c:v>8.9669100000000004</c:v>
                </c:pt>
                <c:pt idx="901">
                  <c:v>8.5155899999999995</c:v>
                </c:pt>
                <c:pt idx="902">
                  <c:v>8.0647900000000003</c:v>
                </c:pt>
                <c:pt idx="903">
                  <c:v>7.6151799999999996</c:v>
                </c:pt>
                <c:pt idx="904">
                  <c:v>7.1651999999999996</c:v>
                </c:pt>
                <c:pt idx="905">
                  <c:v>6.7150299999999996</c:v>
                </c:pt>
                <c:pt idx="906">
                  <c:v>6.2642300000000004</c:v>
                </c:pt>
                <c:pt idx="907">
                  <c:v>5.8125999999999998</c:v>
                </c:pt>
                <c:pt idx="908" formatCode="0.00E+00">
                  <c:v>5.3602299999999996</c:v>
                </c:pt>
                <c:pt idx="909">
                  <c:v>4.9068800000000001</c:v>
                </c:pt>
                <c:pt idx="910">
                  <c:v>4.45282</c:v>
                </c:pt>
                <c:pt idx="911">
                  <c:v>3.99946</c:v>
                </c:pt>
                <c:pt idx="912">
                  <c:v>3.5428999999999999</c:v>
                </c:pt>
                <c:pt idx="913">
                  <c:v>3.0821200000000002</c:v>
                </c:pt>
                <c:pt idx="914">
                  <c:v>2.61633</c:v>
                </c:pt>
                <c:pt idx="915">
                  <c:v>2.1374200000000001</c:v>
                </c:pt>
                <c:pt idx="916">
                  <c:v>1.6393800000000001</c:v>
                </c:pt>
                <c:pt idx="917">
                  <c:v>1.139</c:v>
                </c:pt>
                <c:pt idx="918">
                  <c:v>0.58284599999999998</c:v>
                </c:pt>
                <c:pt idx="919">
                  <c:v>-2.0843200000000002E-3</c:v>
                </c:pt>
                <c:pt idx="920">
                  <c:v>-0.54432899999999995</c:v>
                </c:pt>
                <c:pt idx="921">
                  <c:v>-0.97753999999999996</c:v>
                </c:pt>
                <c:pt idx="922">
                  <c:v>-1.29016</c:v>
                </c:pt>
                <c:pt idx="923">
                  <c:v>-1.57683</c:v>
                </c:pt>
                <c:pt idx="924">
                  <c:v>-1.8526499999999999</c:v>
                </c:pt>
                <c:pt idx="925">
                  <c:v>-2.12263</c:v>
                </c:pt>
                <c:pt idx="926">
                  <c:v>-2.38903</c:v>
                </c:pt>
                <c:pt idx="927">
                  <c:v>-2.65246</c:v>
                </c:pt>
                <c:pt idx="928">
                  <c:v>-2.9056299999999999</c:v>
                </c:pt>
                <c:pt idx="929">
                  <c:v>-3.1464099999999999</c:v>
                </c:pt>
                <c:pt idx="930">
                  <c:v>-3.3267899999999999</c:v>
                </c:pt>
                <c:pt idx="931">
                  <c:v>-3.4699300000000002</c:v>
                </c:pt>
                <c:pt idx="932">
                  <c:v>-3.5934900000000001</c:v>
                </c:pt>
                <c:pt idx="933">
                  <c:v>-3.7122999999999999</c:v>
                </c:pt>
                <c:pt idx="934">
                  <c:v>-3.8269299999999999</c:v>
                </c:pt>
                <c:pt idx="935">
                  <c:v>-3.9156599999999999</c:v>
                </c:pt>
                <c:pt idx="936">
                  <c:v>-3.9942600000000001</c:v>
                </c:pt>
                <c:pt idx="937">
                  <c:v>-4.0728400000000002</c:v>
                </c:pt>
                <c:pt idx="938">
                  <c:v>-4.1514100000000003</c:v>
                </c:pt>
                <c:pt idx="939">
                  <c:v>-4.2299699999999998</c:v>
                </c:pt>
                <c:pt idx="940">
                  <c:v>-4.3085100000000001</c:v>
                </c:pt>
                <c:pt idx="941">
                  <c:v>-4.3850199999999999</c:v>
                </c:pt>
                <c:pt idx="942">
                  <c:v>-4.4552300000000002</c:v>
                </c:pt>
                <c:pt idx="943">
                  <c:v>-4.5254300000000001</c:v>
                </c:pt>
                <c:pt idx="944">
                  <c:v>-4.57064</c:v>
                </c:pt>
                <c:pt idx="945">
                  <c:v>-4.6104099999999999</c:v>
                </c:pt>
                <c:pt idx="946">
                  <c:v>-4.6461699999999997</c:v>
                </c:pt>
                <c:pt idx="947">
                  <c:v>-4.6735800000000003</c:v>
                </c:pt>
                <c:pt idx="948">
                  <c:v>-4.6931799999999999</c:v>
                </c:pt>
                <c:pt idx="949">
                  <c:v>-4.7085499999999998</c:v>
                </c:pt>
                <c:pt idx="950">
                  <c:v>-4.7233200000000002</c:v>
                </c:pt>
                <c:pt idx="951">
                  <c:v>-4.7371999999999996</c:v>
                </c:pt>
                <c:pt idx="952">
                  <c:v>-4.7497100000000003</c:v>
                </c:pt>
                <c:pt idx="953">
                  <c:v>-4.7622200000000001</c:v>
                </c:pt>
                <c:pt idx="954">
                  <c:v>-4.7747299999999999</c:v>
                </c:pt>
                <c:pt idx="955">
                  <c:v>-4.7872399999999997</c:v>
                </c:pt>
                <c:pt idx="956">
                  <c:v>-4.7997500000000004</c:v>
                </c:pt>
                <c:pt idx="957">
                  <c:v>-4.8122699999999998</c:v>
                </c:pt>
                <c:pt idx="958">
                  <c:v>-4.8247799999999996</c:v>
                </c:pt>
                <c:pt idx="959">
                  <c:v>-4.8372900000000003</c:v>
                </c:pt>
                <c:pt idx="960">
                  <c:v>-4.8494900000000003</c:v>
                </c:pt>
                <c:pt idx="961">
                  <c:v>-4.8601599999999996</c:v>
                </c:pt>
                <c:pt idx="962">
                  <c:v>-4.8675600000000001</c:v>
                </c:pt>
                <c:pt idx="963">
                  <c:v>-4.86911</c:v>
                </c:pt>
                <c:pt idx="964">
                  <c:v>-4.8701400000000001</c:v>
                </c:pt>
                <c:pt idx="965">
                  <c:v>-4.8740600000000001</c:v>
                </c:pt>
                <c:pt idx="966">
                  <c:v>-4.8955700000000002</c:v>
                </c:pt>
                <c:pt idx="967">
                  <c:v>-4.9341999999999997</c:v>
                </c:pt>
                <c:pt idx="968">
                  <c:v>-4.98386</c:v>
                </c:pt>
                <c:pt idx="969">
                  <c:v>-5.03505</c:v>
                </c:pt>
                <c:pt idx="970">
                  <c:v>-5.0869600000000004</c:v>
                </c:pt>
                <c:pt idx="971">
                  <c:v>-5.1396899999999999</c:v>
                </c:pt>
                <c:pt idx="972">
                  <c:v>-5.1934199999999997</c:v>
                </c:pt>
                <c:pt idx="973">
                  <c:v>-5.2255500000000001</c:v>
                </c:pt>
                <c:pt idx="974">
                  <c:v>-5.2306499999999998</c:v>
                </c:pt>
                <c:pt idx="975">
                  <c:v>-5.2357699999999996</c:v>
                </c:pt>
                <c:pt idx="976">
                  <c:v>-5.2500099999999996</c:v>
                </c:pt>
                <c:pt idx="977">
                  <c:v>-5.3430600000000004</c:v>
                </c:pt>
                <c:pt idx="978">
                  <c:v>-5.4240599999999999</c:v>
                </c:pt>
                <c:pt idx="979">
                  <c:v>-5.5046299999999997</c:v>
                </c:pt>
                <c:pt idx="980">
                  <c:v>-5.5861299999999998</c:v>
                </c:pt>
                <c:pt idx="981">
                  <c:v>-5.6685400000000001</c:v>
                </c:pt>
                <c:pt idx="982">
                  <c:v>-5.7518399999999996</c:v>
                </c:pt>
                <c:pt idx="983">
                  <c:v>-5.8360799999999999</c:v>
                </c:pt>
                <c:pt idx="984">
                  <c:v>-5.9207999999999998</c:v>
                </c:pt>
                <c:pt idx="985">
                  <c:v>-6.0057200000000002</c:v>
                </c:pt>
                <c:pt idx="986">
                  <c:v>-6.0904199999999999</c:v>
                </c:pt>
                <c:pt idx="987">
                  <c:v>-6.1565099999999999</c:v>
                </c:pt>
                <c:pt idx="988">
                  <c:v>-6.1980899999999997</c:v>
                </c:pt>
                <c:pt idx="989">
                  <c:v>-6.22485</c:v>
                </c:pt>
                <c:pt idx="990">
                  <c:v>-6.2493499999999997</c:v>
                </c:pt>
                <c:pt idx="991">
                  <c:v>-6.2738399999999999</c:v>
                </c:pt>
                <c:pt idx="992">
                  <c:v>-6.2983099999999999</c:v>
                </c:pt>
                <c:pt idx="993">
                  <c:v>-6.3226300000000002</c:v>
                </c:pt>
                <c:pt idx="994">
                  <c:v>-6.3464799999999997</c:v>
                </c:pt>
                <c:pt idx="995">
                  <c:v>-6.3702199999999998</c:v>
                </c:pt>
                <c:pt idx="996">
                  <c:v>-6.3939199999999996</c:v>
                </c:pt>
                <c:pt idx="997">
                  <c:v>-6.4175899999999997</c:v>
                </c:pt>
                <c:pt idx="998">
                  <c:v>-6.4411899999999997</c:v>
                </c:pt>
                <c:pt idx="999">
                  <c:v>-6.4646600000000003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867-451E-A579-E96C9712B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722880"/>
        <c:axId val="526724544"/>
      </c:scatterChart>
      <c:valAx>
        <c:axId val="52672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526724544"/>
        <c:crosses val="autoZero"/>
        <c:crossBetween val="midCat"/>
      </c:valAx>
      <c:valAx>
        <c:axId val="52672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526722880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 sz="1200"/>
      </a:pPr>
      <a:endParaRPr lang="zh-H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PMM!$C$1:$C$62</c:f>
              <c:numCache>
                <c:formatCode>General</c:formatCode>
                <c:ptCount val="62"/>
                <c:pt idx="0">
                  <c:v>0</c:v>
                </c:pt>
                <c:pt idx="1">
                  <c:v>900.38199999999995</c:v>
                </c:pt>
                <c:pt idx="2">
                  <c:v>1084.933</c:v>
                </c:pt>
                <c:pt idx="3">
                  <c:v>1386.127</c:v>
                </c:pt>
                <c:pt idx="4">
                  <c:v>1945.498</c:v>
                </c:pt>
                <c:pt idx="5">
                  <c:v>3046.0050000000001</c:v>
                </c:pt>
                <c:pt idx="6">
                  <c:v>4495.5450000000001</c:v>
                </c:pt>
                <c:pt idx="7">
                  <c:v>4861.2889999999998</c:v>
                </c:pt>
                <c:pt idx="8">
                  <c:v>4463.018</c:v>
                </c:pt>
                <c:pt idx="9">
                  <c:v>3938.0810000000001</c:v>
                </c:pt>
                <c:pt idx="10">
                  <c:v>3439.4250000000002</c:v>
                </c:pt>
                <c:pt idx="11">
                  <c:v>3000.6909999999998</c:v>
                </c:pt>
                <c:pt idx="12">
                  <c:v>2622.2449999999999</c:v>
                </c:pt>
                <c:pt idx="13">
                  <c:v>2296.4250000000002</c:v>
                </c:pt>
                <c:pt idx="14">
                  <c:v>2014.136</c:v>
                </c:pt>
                <c:pt idx="15">
                  <c:v>1767.3720000000001</c:v>
                </c:pt>
                <c:pt idx="16">
                  <c:v>1549.9469999999999</c:v>
                </c:pt>
                <c:pt idx="17">
                  <c:v>1357.018</c:v>
                </c:pt>
                <c:pt idx="18">
                  <c:v>1184.741</c:v>
                </c:pt>
                <c:pt idx="19">
                  <c:v>1029.8340000000001</c:v>
                </c:pt>
                <c:pt idx="20">
                  <c:v>890.00199999999995</c:v>
                </c:pt>
                <c:pt idx="21">
                  <c:v>763.221</c:v>
                </c:pt>
                <c:pt idx="22">
                  <c:v>647.77800000000002</c:v>
                </c:pt>
                <c:pt idx="23">
                  <c:v>542.24800000000005</c:v>
                </c:pt>
                <c:pt idx="24">
                  <c:v>445.416</c:v>
                </c:pt>
                <c:pt idx="25">
                  <c:v>356.28199999999998</c:v>
                </c:pt>
                <c:pt idx="26">
                  <c:v>273.98099999999999</c:v>
                </c:pt>
                <c:pt idx="27">
                  <c:v>197.76900000000001</c:v>
                </c:pt>
                <c:pt idx="28">
                  <c:v>127.05</c:v>
                </c:pt>
                <c:pt idx="29">
                  <c:v>61.283999999999999</c:v>
                </c:pt>
                <c:pt idx="30">
                  <c:v>0</c:v>
                </c:pt>
                <c:pt idx="31">
                  <c:v>0</c:v>
                </c:pt>
                <c:pt idx="32">
                  <c:v>-58.796999999999997</c:v>
                </c:pt>
                <c:pt idx="33">
                  <c:v>-121.917</c:v>
                </c:pt>
                <c:pt idx="34">
                  <c:v>-189.80500000000001</c:v>
                </c:pt>
                <c:pt idx="35">
                  <c:v>-262.995</c:v>
                </c:pt>
                <c:pt idx="36">
                  <c:v>-342.09500000000003</c:v>
                </c:pt>
                <c:pt idx="37">
                  <c:v>-427.81700000000001</c:v>
                </c:pt>
                <c:pt idx="38">
                  <c:v>-520.93899999999996</c:v>
                </c:pt>
                <c:pt idx="39">
                  <c:v>-622.43100000000004</c:v>
                </c:pt>
                <c:pt idx="40">
                  <c:v>-733.48599999999999</c:v>
                </c:pt>
                <c:pt idx="41">
                  <c:v>-855.47900000000004</c:v>
                </c:pt>
                <c:pt idx="42">
                  <c:v>-990.06299999999999</c:v>
                </c:pt>
                <c:pt idx="43">
                  <c:v>-1139.2329999999999</c:v>
                </c:pt>
                <c:pt idx="44">
                  <c:v>-1305.425</c:v>
                </c:pt>
                <c:pt idx="45">
                  <c:v>-1491.644</c:v>
                </c:pt>
                <c:pt idx="46">
                  <c:v>-1701.6320000000001</c:v>
                </c:pt>
                <c:pt idx="47">
                  <c:v>-1940.114</c:v>
                </c:pt>
                <c:pt idx="48">
                  <c:v>-2212.826</c:v>
                </c:pt>
                <c:pt idx="49">
                  <c:v>-2526.5889999999999</c:v>
                </c:pt>
                <c:pt idx="50">
                  <c:v>-2890.4690000000001</c:v>
                </c:pt>
                <c:pt idx="51">
                  <c:v>-3311.0990000000002</c:v>
                </c:pt>
                <c:pt idx="52">
                  <c:v>-3787.8389999999999</c:v>
                </c:pt>
                <c:pt idx="53">
                  <c:v>-4299.1480000000001</c:v>
                </c:pt>
                <c:pt idx="54">
                  <c:v>-4763.7780000000002</c:v>
                </c:pt>
                <c:pt idx="55">
                  <c:v>-4758.2740000000003</c:v>
                </c:pt>
                <c:pt idx="56">
                  <c:v>-3203.6729999999998</c:v>
                </c:pt>
                <c:pt idx="57">
                  <c:v>-1904.0540000000001</c:v>
                </c:pt>
                <c:pt idx="58">
                  <c:v>-1311.4369999999999</c:v>
                </c:pt>
                <c:pt idx="59">
                  <c:v>-1011.981</c:v>
                </c:pt>
                <c:pt idx="60">
                  <c:v>-834.39200000000005</c:v>
                </c:pt>
                <c:pt idx="61">
                  <c:v>0</c:v>
                </c:pt>
              </c:numCache>
            </c:numRef>
          </c:xVal>
          <c:yVal>
            <c:numRef>
              <c:f>PMM!$B$1:$B$62</c:f>
              <c:numCache>
                <c:formatCode>General</c:formatCode>
                <c:ptCount val="62"/>
                <c:pt idx="0">
                  <c:v>-3336.25</c:v>
                </c:pt>
                <c:pt idx="1">
                  <c:v>-1752.385</c:v>
                </c:pt>
                <c:pt idx="2">
                  <c:v>-1365.0409999999999</c:v>
                </c:pt>
                <c:pt idx="3">
                  <c:v>-719.57</c:v>
                </c:pt>
                <c:pt idx="4">
                  <c:v>538.48699999999997</c:v>
                </c:pt>
                <c:pt idx="5">
                  <c:v>3461.3809999999999</c:v>
                </c:pt>
                <c:pt idx="6">
                  <c:v>9294.9009999999998</c:v>
                </c:pt>
                <c:pt idx="7">
                  <c:v>14971.648999999999</c:v>
                </c:pt>
                <c:pt idx="8">
                  <c:v>18673.151000000002</c:v>
                </c:pt>
                <c:pt idx="9">
                  <c:v>21239.42</c:v>
                </c:pt>
                <c:pt idx="10">
                  <c:v>23125.476999999999</c:v>
                </c:pt>
                <c:pt idx="11">
                  <c:v>24587.611000000001</c:v>
                </c:pt>
                <c:pt idx="12">
                  <c:v>25770.61</c:v>
                </c:pt>
                <c:pt idx="13">
                  <c:v>26761.618999999999</c:v>
                </c:pt>
                <c:pt idx="14">
                  <c:v>27609.258000000002</c:v>
                </c:pt>
                <c:pt idx="15">
                  <c:v>28341.18</c:v>
                </c:pt>
                <c:pt idx="16">
                  <c:v>28978.417000000001</c:v>
                </c:pt>
                <c:pt idx="17">
                  <c:v>29537.288</c:v>
                </c:pt>
                <c:pt idx="18">
                  <c:v>30030.704000000002</c:v>
                </c:pt>
                <c:pt idx="19">
                  <c:v>30463.212</c:v>
                </c:pt>
                <c:pt idx="20">
                  <c:v>30847.519</c:v>
                </c:pt>
                <c:pt idx="21">
                  <c:v>31191.401999999998</c:v>
                </c:pt>
                <c:pt idx="22">
                  <c:v>31500.305</c:v>
                </c:pt>
                <c:pt idx="23">
                  <c:v>31778.714</c:v>
                </c:pt>
                <c:pt idx="24">
                  <c:v>32029.205999999998</c:v>
                </c:pt>
                <c:pt idx="25">
                  <c:v>32255.241999999998</c:v>
                </c:pt>
                <c:pt idx="26">
                  <c:v>32458.34</c:v>
                </c:pt>
                <c:pt idx="27">
                  <c:v>32637.754000000001</c:v>
                </c:pt>
                <c:pt idx="28">
                  <c:v>32798.160000000003</c:v>
                </c:pt>
                <c:pt idx="29">
                  <c:v>32940.953999999998</c:v>
                </c:pt>
                <c:pt idx="30">
                  <c:v>32940.364000000001</c:v>
                </c:pt>
                <c:pt idx="31">
                  <c:v>32940.364000000001</c:v>
                </c:pt>
                <c:pt idx="32">
                  <c:v>32825.040000000001</c:v>
                </c:pt>
                <c:pt idx="33">
                  <c:v>32688.625</c:v>
                </c:pt>
                <c:pt idx="34">
                  <c:v>32533.239000000001</c:v>
                </c:pt>
                <c:pt idx="35">
                  <c:v>32360.133999999998</c:v>
                </c:pt>
                <c:pt idx="36">
                  <c:v>32166.993999999999</c:v>
                </c:pt>
                <c:pt idx="37">
                  <c:v>31951.871999999999</c:v>
                </c:pt>
                <c:pt idx="38">
                  <c:v>31709.030999999999</c:v>
                </c:pt>
                <c:pt idx="39">
                  <c:v>31436.728999999999</c:v>
                </c:pt>
                <c:pt idx="40">
                  <c:v>31133.934000000001</c:v>
                </c:pt>
                <c:pt idx="41">
                  <c:v>30796.131000000001</c:v>
                </c:pt>
                <c:pt idx="42">
                  <c:v>30417.873</c:v>
                </c:pt>
                <c:pt idx="43">
                  <c:v>29992.478999999999</c:v>
                </c:pt>
                <c:pt idx="44">
                  <c:v>29511.724999999999</c:v>
                </c:pt>
                <c:pt idx="45">
                  <c:v>28965.456999999999</c:v>
                </c:pt>
                <c:pt idx="46">
                  <c:v>28340.883999999998</c:v>
                </c:pt>
                <c:pt idx="47">
                  <c:v>27621.734</c:v>
                </c:pt>
                <c:pt idx="48">
                  <c:v>26783.35</c:v>
                </c:pt>
                <c:pt idx="49">
                  <c:v>25789.543000000001</c:v>
                </c:pt>
                <c:pt idx="50">
                  <c:v>24599.199000000001</c:v>
                </c:pt>
                <c:pt idx="51">
                  <c:v>23122.492999999999</c:v>
                </c:pt>
                <c:pt idx="52">
                  <c:v>21218.129000000001</c:v>
                </c:pt>
                <c:pt idx="53">
                  <c:v>18682.243999999999</c:v>
                </c:pt>
                <c:pt idx="54">
                  <c:v>15237.977000000001</c:v>
                </c:pt>
                <c:pt idx="55">
                  <c:v>10218.084999999999</c:v>
                </c:pt>
                <c:pt idx="56">
                  <c:v>3781.1559999999999</c:v>
                </c:pt>
                <c:pt idx="57">
                  <c:v>547.37</c:v>
                </c:pt>
                <c:pt idx="58">
                  <c:v>-707.09100000000001</c:v>
                </c:pt>
                <c:pt idx="59">
                  <c:v>-1322.431</c:v>
                </c:pt>
                <c:pt idx="60">
                  <c:v>-1686.672</c:v>
                </c:pt>
                <c:pt idx="61">
                  <c:v>-3336.25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90-4146-BFCB-258ABAB89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7802544"/>
        <c:axId val="755010720"/>
      </c:scatterChart>
      <c:valAx>
        <c:axId val="1067802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Moment</a:t>
                </a:r>
                <a:endParaRPr lang="zh-TW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HK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755010720"/>
        <c:crosses val="autoZero"/>
        <c:crossBetween val="midCat"/>
      </c:valAx>
      <c:valAx>
        <c:axId val="75501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Axial Force</a:t>
                </a:r>
                <a:endParaRPr lang="zh-TW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HK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1067802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zh-H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466725</xdr:colOff>
      <xdr:row>1</xdr:row>
      <xdr:rowOff>61912</xdr:rowOff>
    </xdr:from>
    <xdr:to>
      <xdr:col>17</xdr:col>
      <xdr:colOff>57150</xdr:colOff>
      <xdr:row>20</xdr:row>
      <xdr:rowOff>152401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8B32237-B1AA-405C-86EA-238DB631B8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466725</xdr:colOff>
      <xdr:row>20</xdr:row>
      <xdr:rowOff>152400</xdr:rowOff>
    </xdr:from>
    <xdr:to>
      <xdr:col>17</xdr:col>
      <xdr:colOff>57150</xdr:colOff>
      <xdr:row>40</xdr:row>
      <xdr:rowOff>42864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269A64E-F87F-4673-863B-87CA5CEFEF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66675</xdr:colOff>
      <xdr:row>1</xdr:row>
      <xdr:rowOff>57150</xdr:rowOff>
    </xdr:from>
    <xdr:to>
      <xdr:col>25</xdr:col>
      <xdr:colOff>266700</xdr:colOff>
      <xdr:row>20</xdr:row>
      <xdr:rowOff>147639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43A23ED9-FB11-409D-9B6E-E5FB28067A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57150</xdr:colOff>
      <xdr:row>20</xdr:row>
      <xdr:rowOff>152400</xdr:rowOff>
    </xdr:from>
    <xdr:to>
      <xdr:col>25</xdr:col>
      <xdr:colOff>257175</xdr:colOff>
      <xdr:row>40</xdr:row>
      <xdr:rowOff>42864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2B21F28E-5D95-49EA-A612-EF7FE478F7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523874</xdr:colOff>
      <xdr:row>5</xdr:row>
      <xdr:rowOff>95250</xdr:rowOff>
    </xdr:from>
    <xdr:to>
      <xdr:col>17</xdr:col>
      <xdr:colOff>247650</xdr:colOff>
      <xdr:row>29</xdr:row>
      <xdr:rowOff>133350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6CAA7B9-5615-403B-AB60-51BC0895EA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390525</xdr:colOff>
      <xdr:row>22</xdr:row>
      <xdr:rowOff>47625</xdr:rowOff>
    </xdr:from>
    <xdr:to>
      <xdr:col>13</xdr:col>
      <xdr:colOff>352425</xdr:colOff>
      <xdr:row>22</xdr:row>
      <xdr:rowOff>47625</xdr:rowOff>
    </xdr:to>
    <xdr:cxnSp macro="">
      <xdr:nvCxnSpPr>
        <xdr:cNvPr id="4" name="直接箭头连接符 3">
          <a:extLst>
            <a:ext uri="{FF2B5EF4-FFF2-40B4-BE49-F238E27FC236}">
              <a16:creationId xmlns:a16="http://schemas.microsoft.com/office/drawing/2014/main" id="{CD0F5129-8372-41E5-96D0-F0D71CA1832A}"/>
            </a:ext>
          </a:extLst>
        </xdr:cNvPr>
        <xdr:cNvCxnSpPr/>
      </xdr:nvCxnSpPr>
      <xdr:spPr>
        <a:xfrm>
          <a:off x="7096125" y="4448175"/>
          <a:ext cx="1181100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400050</xdr:colOff>
      <xdr:row>18</xdr:row>
      <xdr:rowOff>95250</xdr:rowOff>
    </xdr:from>
    <xdr:to>
      <xdr:col>15</xdr:col>
      <xdr:colOff>304800</xdr:colOff>
      <xdr:row>18</xdr:row>
      <xdr:rowOff>95250</xdr:rowOff>
    </xdr:to>
    <xdr:cxnSp macro="">
      <xdr:nvCxnSpPr>
        <xdr:cNvPr id="7" name="直接箭头连接符 6">
          <a:extLst>
            <a:ext uri="{FF2B5EF4-FFF2-40B4-BE49-F238E27FC236}">
              <a16:creationId xmlns:a16="http://schemas.microsoft.com/office/drawing/2014/main" id="{58707FEF-034F-4A8F-A28E-807DC211D602}"/>
            </a:ext>
          </a:extLst>
        </xdr:cNvPr>
        <xdr:cNvCxnSpPr/>
      </xdr:nvCxnSpPr>
      <xdr:spPr>
        <a:xfrm>
          <a:off x="7105650" y="3695700"/>
          <a:ext cx="2343150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419100</xdr:colOff>
      <xdr:row>13</xdr:row>
      <xdr:rowOff>180975</xdr:rowOff>
    </xdr:from>
    <xdr:to>
      <xdr:col>15</xdr:col>
      <xdr:colOff>323850</xdr:colOff>
      <xdr:row>13</xdr:row>
      <xdr:rowOff>180975</xdr:rowOff>
    </xdr:to>
    <xdr:cxnSp macro="">
      <xdr:nvCxnSpPr>
        <xdr:cNvPr id="9" name="直接箭头连接符 8">
          <a:extLst>
            <a:ext uri="{FF2B5EF4-FFF2-40B4-BE49-F238E27FC236}">
              <a16:creationId xmlns:a16="http://schemas.microsoft.com/office/drawing/2014/main" id="{BC3DC58D-E166-44A2-89C3-DB28087E5BC4}"/>
            </a:ext>
          </a:extLst>
        </xdr:cNvPr>
        <xdr:cNvCxnSpPr/>
      </xdr:nvCxnSpPr>
      <xdr:spPr>
        <a:xfrm>
          <a:off x="7124700" y="2781300"/>
          <a:ext cx="2343150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419100</xdr:colOff>
      <xdr:row>17</xdr:row>
      <xdr:rowOff>28575</xdr:rowOff>
    </xdr:from>
    <xdr:to>
      <xdr:col>16</xdr:col>
      <xdr:colOff>66675</xdr:colOff>
      <xdr:row>18</xdr:row>
      <xdr:rowOff>114300</xdr:rowOff>
    </xdr:to>
    <xdr:cxnSp macro="">
      <xdr:nvCxnSpPr>
        <xdr:cNvPr id="11" name="直接箭头连接符 10">
          <a:extLst>
            <a:ext uri="{FF2B5EF4-FFF2-40B4-BE49-F238E27FC236}">
              <a16:creationId xmlns:a16="http://schemas.microsoft.com/office/drawing/2014/main" id="{EF052482-DF64-4EA1-8B66-081684709772}"/>
            </a:ext>
          </a:extLst>
        </xdr:cNvPr>
        <xdr:cNvCxnSpPr/>
      </xdr:nvCxnSpPr>
      <xdr:spPr>
        <a:xfrm flipH="1">
          <a:off x="9563100" y="3429000"/>
          <a:ext cx="257175" cy="285750"/>
        </a:xfrm>
        <a:prstGeom prst="straightConnector1">
          <a:avLst/>
        </a:prstGeom>
        <a:ln w="57150"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323850</xdr:colOff>
      <xdr:row>12</xdr:row>
      <xdr:rowOff>47625</xdr:rowOff>
    </xdr:from>
    <xdr:to>
      <xdr:col>16</xdr:col>
      <xdr:colOff>28575</xdr:colOff>
      <xdr:row>13</xdr:row>
      <xdr:rowOff>161926</xdr:rowOff>
    </xdr:to>
    <xdr:cxnSp macro="">
      <xdr:nvCxnSpPr>
        <xdr:cNvPr id="12" name="直接箭头连接符 11">
          <a:extLst>
            <a:ext uri="{FF2B5EF4-FFF2-40B4-BE49-F238E27FC236}">
              <a16:creationId xmlns:a16="http://schemas.microsoft.com/office/drawing/2014/main" id="{C4D67E84-396D-480A-84CA-E3E397B33A2D}"/>
            </a:ext>
          </a:extLst>
        </xdr:cNvPr>
        <xdr:cNvCxnSpPr/>
      </xdr:nvCxnSpPr>
      <xdr:spPr>
        <a:xfrm flipH="1">
          <a:off x="9467850" y="2447925"/>
          <a:ext cx="314325" cy="314326"/>
        </a:xfrm>
        <a:prstGeom prst="straightConnector1">
          <a:avLst/>
        </a:prstGeom>
        <a:ln w="57150"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419100</xdr:colOff>
      <xdr:row>20</xdr:row>
      <xdr:rowOff>85725</xdr:rowOff>
    </xdr:from>
    <xdr:to>
      <xdr:col>14</xdr:col>
      <xdr:colOff>66675</xdr:colOff>
      <xdr:row>21</xdr:row>
      <xdr:rowOff>171450</xdr:rowOff>
    </xdr:to>
    <xdr:cxnSp macro="">
      <xdr:nvCxnSpPr>
        <xdr:cNvPr id="16" name="直接箭头连接符 15">
          <a:extLst>
            <a:ext uri="{FF2B5EF4-FFF2-40B4-BE49-F238E27FC236}">
              <a16:creationId xmlns:a16="http://schemas.microsoft.com/office/drawing/2014/main" id="{2EB2C1C9-101A-40C9-8D7D-714F58329D2D}"/>
            </a:ext>
          </a:extLst>
        </xdr:cNvPr>
        <xdr:cNvCxnSpPr/>
      </xdr:nvCxnSpPr>
      <xdr:spPr>
        <a:xfrm flipH="1">
          <a:off x="8343900" y="4086225"/>
          <a:ext cx="257175" cy="285750"/>
        </a:xfrm>
        <a:prstGeom prst="straightConnector1">
          <a:avLst/>
        </a:prstGeom>
        <a:ln w="57150"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33A68-F604-4FED-84F2-92FB4F1E1BA8}">
  <dimension ref="A1:K1000"/>
  <sheetViews>
    <sheetView tabSelected="1" topLeftCell="A8" workbookViewId="0">
      <selection activeCell="K61" sqref="K61"/>
    </sheetView>
  </sheetViews>
  <sheetFormatPr defaultRowHeight="15.75"/>
  <sheetData>
    <row r="1" spans="1:8">
      <c r="A1">
        <v>0.68106299999999997</v>
      </c>
      <c r="B1">
        <v>4.9811899999999999E-2</v>
      </c>
      <c r="D1">
        <v>0.440523</v>
      </c>
      <c r="E1">
        <v>4.6167300000000001E-2</v>
      </c>
      <c r="G1">
        <v>0.41206900000000002</v>
      </c>
      <c r="H1">
        <v>3.9292399999999998E-2</v>
      </c>
    </row>
    <row r="2" spans="1:8">
      <c r="A2">
        <v>0.64232500000000003</v>
      </c>
      <c r="B2">
        <v>9.9811899999999995E-2</v>
      </c>
      <c r="D2">
        <v>0.49478800000000001</v>
      </c>
      <c r="E2">
        <v>9.6167299999999997E-2</v>
      </c>
      <c r="G2">
        <v>0.44226900000000002</v>
      </c>
      <c r="H2">
        <v>8.9292399999999994E-2</v>
      </c>
    </row>
    <row r="3" spans="1:8">
      <c r="A3">
        <v>0.72884800000000005</v>
      </c>
      <c r="B3">
        <v>0.149812</v>
      </c>
      <c r="D3">
        <v>0.63120699999999996</v>
      </c>
      <c r="E3">
        <v>0.14616699999999999</v>
      </c>
      <c r="G3">
        <v>0.55122599999999999</v>
      </c>
      <c r="H3">
        <v>0.139292</v>
      </c>
    </row>
    <row r="4" spans="1:8">
      <c r="A4">
        <v>0.88799700000000004</v>
      </c>
      <c r="B4">
        <v>0.19981199999999999</v>
      </c>
      <c r="D4">
        <v>0.80844000000000005</v>
      </c>
      <c r="E4">
        <v>0.19616700000000001</v>
      </c>
      <c r="G4">
        <v>0.699241</v>
      </c>
      <c r="H4">
        <v>0.18929199999999999</v>
      </c>
    </row>
    <row r="5" spans="1:8">
      <c r="A5">
        <v>1.0240899999999999</v>
      </c>
      <c r="B5">
        <v>0.24981200000000001</v>
      </c>
      <c r="D5">
        <v>1.0058199999999999</v>
      </c>
      <c r="E5">
        <v>0.246167</v>
      </c>
      <c r="G5">
        <v>0.86646199999999995</v>
      </c>
      <c r="H5">
        <v>0.239292</v>
      </c>
    </row>
    <row r="6" spans="1:8">
      <c r="A6">
        <v>1.1342699999999999</v>
      </c>
      <c r="B6">
        <v>0.29981200000000002</v>
      </c>
      <c r="D6">
        <v>1.2130000000000001</v>
      </c>
      <c r="E6">
        <v>0.29616700000000001</v>
      </c>
      <c r="G6">
        <v>1.0429600000000001</v>
      </c>
      <c r="H6">
        <v>0.28929199999999999</v>
      </c>
    </row>
    <row r="7" spans="1:8">
      <c r="A7">
        <v>1.2298199999999999</v>
      </c>
      <c r="B7">
        <v>0.34981200000000001</v>
      </c>
      <c r="D7">
        <v>1.4248099999999999</v>
      </c>
      <c r="E7">
        <v>0.346167</v>
      </c>
      <c r="G7">
        <v>1.2237800000000001</v>
      </c>
      <c r="H7">
        <v>0.33929199999999998</v>
      </c>
    </row>
    <row r="8" spans="1:8">
      <c r="A8">
        <v>1.30166</v>
      </c>
      <c r="B8">
        <v>0.399812</v>
      </c>
      <c r="D8">
        <v>1.6386799999999999</v>
      </c>
      <c r="E8">
        <v>0.39616699999999999</v>
      </c>
      <c r="G8">
        <v>1.40642</v>
      </c>
      <c r="H8">
        <v>0.38929200000000003</v>
      </c>
    </row>
    <row r="9" spans="1:8">
      <c r="A9">
        <v>1.37456</v>
      </c>
      <c r="B9">
        <v>0.44981199999999999</v>
      </c>
      <c r="D9">
        <v>1.85331</v>
      </c>
      <c r="E9">
        <v>0.44616699999999998</v>
      </c>
      <c r="G9">
        <v>1.5896600000000001</v>
      </c>
      <c r="H9">
        <v>0.43929200000000002</v>
      </c>
    </row>
    <row r="10" spans="1:8">
      <c r="A10">
        <v>1.44628</v>
      </c>
      <c r="B10">
        <v>0.49981199999999998</v>
      </c>
      <c r="D10">
        <v>2.0680499999999999</v>
      </c>
      <c r="E10">
        <v>0.49616700000000002</v>
      </c>
      <c r="G10">
        <v>1.77285</v>
      </c>
      <c r="H10">
        <v>0.489292</v>
      </c>
    </row>
    <row r="11" spans="1:8">
      <c r="A11">
        <v>1.5161500000000001</v>
      </c>
      <c r="B11">
        <v>0.54981199999999997</v>
      </c>
      <c r="D11">
        <v>2.2825700000000002</v>
      </c>
      <c r="E11">
        <v>0.54616699999999996</v>
      </c>
      <c r="G11">
        <v>1.9557</v>
      </c>
      <c r="H11">
        <v>0.53929199999999999</v>
      </c>
    </row>
    <row r="12" spans="1:8">
      <c r="A12">
        <v>1.5841000000000001</v>
      </c>
      <c r="B12">
        <v>0.59981200000000001</v>
      </c>
      <c r="D12">
        <v>2.4967100000000002</v>
      </c>
      <c r="E12">
        <v>0.596167</v>
      </c>
      <c r="G12">
        <v>2.1380400000000002</v>
      </c>
      <c r="H12">
        <v>0.58929200000000004</v>
      </c>
    </row>
    <row r="13" spans="1:8">
      <c r="A13">
        <v>1.65011</v>
      </c>
      <c r="B13">
        <v>0.64981199999999995</v>
      </c>
      <c r="D13">
        <v>2.7103899999999999</v>
      </c>
      <c r="E13">
        <v>0.64616700000000005</v>
      </c>
      <c r="G13">
        <v>2.3197899999999998</v>
      </c>
      <c r="H13">
        <v>0.63929199999999997</v>
      </c>
    </row>
    <row r="14" spans="1:8">
      <c r="A14">
        <v>1.7143999999999999</v>
      </c>
      <c r="B14">
        <v>0.69981199999999999</v>
      </c>
      <c r="D14">
        <v>2.9235699999999998</v>
      </c>
      <c r="E14">
        <v>0.69616699999999998</v>
      </c>
      <c r="G14">
        <v>2.5009100000000002</v>
      </c>
      <c r="H14">
        <v>0.68929200000000002</v>
      </c>
    </row>
    <row r="15" spans="1:8">
      <c r="A15">
        <v>1.77698</v>
      </c>
      <c r="B15">
        <v>0.74981200000000003</v>
      </c>
      <c r="D15">
        <v>3.1362199999999998</v>
      </c>
      <c r="E15">
        <v>0.74616700000000002</v>
      </c>
      <c r="G15">
        <v>2.6813699999999998</v>
      </c>
      <c r="H15">
        <v>0.73929199999999995</v>
      </c>
    </row>
    <row r="16" spans="1:8">
      <c r="A16">
        <v>1.83802</v>
      </c>
      <c r="B16">
        <v>0.79981199999999997</v>
      </c>
      <c r="D16">
        <v>3.3483299999999998</v>
      </c>
      <c r="E16">
        <v>0.79616699999999996</v>
      </c>
      <c r="G16">
        <v>2.8611800000000001</v>
      </c>
      <c r="H16">
        <v>0.78929199999999999</v>
      </c>
    </row>
    <row r="17" spans="1:8">
      <c r="A17">
        <v>1.8976</v>
      </c>
      <c r="B17">
        <v>0.84981200000000001</v>
      </c>
      <c r="D17">
        <v>3.5598900000000002</v>
      </c>
      <c r="E17">
        <v>0.846167</v>
      </c>
      <c r="G17">
        <v>3.0402999999999998</v>
      </c>
      <c r="H17">
        <v>0.83929200000000004</v>
      </c>
    </row>
    <row r="18" spans="1:8">
      <c r="A18">
        <v>1.9560200000000001</v>
      </c>
      <c r="B18">
        <v>0.89981199999999995</v>
      </c>
      <c r="D18">
        <v>3.7709100000000002</v>
      </c>
      <c r="E18">
        <v>0.89616700000000005</v>
      </c>
      <c r="G18">
        <v>3.21875</v>
      </c>
      <c r="H18">
        <v>0.88929199999999997</v>
      </c>
    </row>
    <row r="19" spans="1:8">
      <c r="A19">
        <v>2.0136099999999999</v>
      </c>
      <c r="B19">
        <v>0.94981199999999999</v>
      </c>
      <c r="D19">
        <v>3.9813700000000001</v>
      </c>
      <c r="E19">
        <v>0.94616699999999998</v>
      </c>
      <c r="G19">
        <v>3.3965100000000001</v>
      </c>
      <c r="H19">
        <v>0.93929200000000002</v>
      </c>
    </row>
    <row r="20" spans="1:8">
      <c r="A20">
        <v>2.0703900000000002</v>
      </c>
      <c r="B20">
        <v>0.99981200000000003</v>
      </c>
      <c r="D20">
        <v>4.1912799999999999</v>
      </c>
      <c r="E20">
        <v>0.99616700000000002</v>
      </c>
      <c r="G20">
        <v>3.5735800000000002</v>
      </c>
      <c r="H20">
        <v>0.98929199999999995</v>
      </c>
    </row>
    <row r="21" spans="1:8">
      <c r="A21">
        <v>2.1263399999999999</v>
      </c>
      <c r="B21">
        <v>1.0498099999999999</v>
      </c>
      <c r="D21">
        <v>4.4006299999999996</v>
      </c>
      <c r="E21">
        <v>1.04617</v>
      </c>
      <c r="G21">
        <v>3.7499600000000002</v>
      </c>
      <c r="H21">
        <v>1.03929</v>
      </c>
    </row>
    <row r="22" spans="1:8">
      <c r="A22">
        <v>2.1816499999999999</v>
      </c>
      <c r="B22">
        <v>1.09981</v>
      </c>
      <c r="D22">
        <v>4.6094200000000001</v>
      </c>
      <c r="E22">
        <v>1.0961700000000001</v>
      </c>
      <c r="G22">
        <v>3.9256500000000001</v>
      </c>
      <c r="H22">
        <v>1.0892900000000001</v>
      </c>
    </row>
    <row r="23" spans="1:8">
      <c r="A23">
        <v>2.2363300000000002</v>
      </c>
      <c r="B23">
        <v>1.14981</v>
      </c>
      <c r="D23">
        <v>4.8176399999999999</v>
      </c>
      <c r="E23">
        <v>1.1461699999999999</v>
      </c>
      <c r="G23">
        <v>4.1006299999999998</v>
      </c>
      <c r="H23">
        <v>1.1392899999999999</v>
      </c>
    </row>
    <row r="24" spans="1:8">
      <c r="A24">
        <v>2.2904900000000001</v>
      </c>
      <c r="B24">
        <v>1.19981</v>
      </c>
      <c r="D24">
        <v>5.0252999999999997</v>
      </c>
      <c r="E24">
        <v>1.19617</v>
      </c>
      <c r="G24">
        <v>4.2749199999999998</v>
      </c>
      <c r="H24">
        <v>1.18929</v>
      </c>
    </row>
    <row r="25" spans="1:8">
      <c r="A25">
        <v>2.3441700000000001</v>
      </c>
      <c r="B25">
        <v>1.2498100000000001</v>
      </c>
      <c r="D25">
        <v>5.2324000000000002</v>
      </c>
      <c r="E25">
        <v>1.24617</v>
      </c>
      <c r="G25">
        <v>4.4484899999999996</v>
      </c>
      <c r="H25">
        <v>1.23929</v>
      </c>
    </row>
    <row r="26" spans="1:8">
      <c r="A26">
        <v>2.3974799999999998</v>
      </c>
      <c r="B26">
        <v>1.2998099999999999</v>
      </c>
      <c r="D26">
        <v>5.4389200000000004</v>
      </c>
      <c r="E26">
        <v>1.29617</v>
      </c>
      <c r="G26">
        <v>4.6213499999999996</v>
      </c>
      <c r="H26">
        <v>1.28929</v>
      </c>
    </row>
    <row r="27" spans="1:8">
      <c r="A27">
        <v>2.4503699999999999</v>
      </c>
      <c r="B27">
        <v>1.34981</v>
      </c>
      <c r="D27">
        <v>5.6448700000000001</v>
      </c>
      <c r="E27">
        <v>1.3461700000000001</v>
      </c>
      <c r="G27">
        <v>4.7934999999999999</v>
      </c>
      <c r="H27">
        <v>1.3392900000000001</v>
      </c>
    </row>
    <row r="28" spans="1:8">
      <c r="A28">
        <v>2.50291</v>
      </c>
      <c r="B28">
        <v>1.39981</v>
      </c>
      <c r="D28">
        <v>5.85025</v>
      </c>
      <c r="E28">
        <v>1.3961699999999999</v>
      </c>
      <c r="G28">
        <v>4.9649299999999998</v>
      </c>
      <c r="H28">
        <v>1.3892899999999999</v>
      </c>
    </row>
    <row r="29" spans="1:8">
      <c r="A29">
        <v>2.5551200000000001</v>
      </c>
      <c r="B29">
        <v>1.44981</v>
      </c>
      <c r="D29">
        <v>6.0550499999999996</v>
      </c>
      <c r="E29">
        <v>1.44617</v>
      </c>
      <c r="G29">
        <v>5.1356400000000004</v>
      </c>
      <c r="H29">
        <v>1.43929</v>
      </c>
    </row>
    <row r="30" spans="1:8">
      <c r="A30">
        <v>2.6070600000000002</v>
      </c>
      <c r="B30">
        <v>1.4998100000000001</v>
      </c>
      <c r="D30">
        <v>6.2592699999999999</v>
      </c>
      <c r="E30">
        <v>1.49617</v>
      </c>
      <c r="G30">
        <v>5.3056200000000002</v>
      </c>
      <c r="H30">
        <v>1.48929</v>
      </c>
    </row>
    <row r="31" spans="1:8">
      <c r="A31">
        <v>2.6587399999999999</v>
      </c>
      <c r="B31">
        <v>1.5498099999999999</v>
      </c>
      <c r="D31">
        <v>6.4629099999999999</v>
      </c>
      <c r="E31">
        <v>1.54617</v>
      </c>
      <c r="G31">
        <v>5.4748700000000001</v>
      </c>
      <c r="H31">
        <v>1.53929</v>
      </c>
    </row>
    <row r="32" spans="1:8">
      <c r="A32">
        <v>2.7101299999999999</v>
      </c>
      <c r="B32">
        <v>1.59981</v>
      </c>
      <c r="D32">
        <v>6.6659600000000001</v>
      </c>
      <c r="E32">
        <v>1.5961700000000001</v>
      </c>
      <c r="G32">
        <v>5.6433799999999996</v>
      </c>
      <c r="H32">
        <v>1.5892900000000001</v>
      </c>
    </row>
    <row r="33" spans="1:8">
      <c r="A33">
        <v>2.76125</v>
      </c>
      <c r="B33">
        <v>1.64981</v>
      </c>
      <c r="D33">
        <v>6.86843</v>
      </c>
      <c r="E33">
        <v>1.6461699999999999</v>
      </c>
      <c r="G33">
        <v>5.8111600000000001</v>
      </c>
      <c r="H33">
        <v>1.6392899999999999</v>
      </c>
    </row>
    <row r="34" spans="1:8">
      <c r="A34">
        <v>2.8121100000000001</v>
      </c>
      <c r="B34">
        <v>1.69981</v>
      </c>
      <c r="D34">
        <v>7.0703100000000001</v>
      </c>
      <c r="E34">
        <v>1.69617</v>
      </c>
      <c r="G34">
        <v>5.9781899999999997</v>
      </c>
      <c r="H34">
        <v>1.68929</v>
      </c>
    </row>
    <row r="35" spans="1:8">
      <c r="A35">
        <v>2.86273</v>
      </c>
      <c r="B35">
        <v>1.7498100000000001</v>
      </c>
      <c r="D35">
        <v>7.2716000000000003</v>
      </c>
      <c r="E35">
        <v>1.74617</v>
      </c>
      <c r="G35">
        <v>6.1444799999999997</v>
      </c>
      <c r="H35">
        <v>1.73929</v>
      </c>
    </row>
    <row r="36" spans="1:8">
      <c r="A36">
        <v>2.9131499999999999</v>
      </c>
      <c r="B36">
        <v>1.7998099999999999</v>
      </c>
      <c r="D36">
        <v>7.4722999999999997</v>
      </c>
      <c r="E36">
        <v>1.79617</v>
      </c>
      <c r="G36">
        <v>6.3100100000000001</v>
      </c>
      <c r="H36">
        <v>1.78929</v>
      </c>
    </row>
    <row r="37" spans="1:8">
      <c r="A37">
        <v>2.96339</v>
      </c>
      <c r="B37">
        <v>1.84981</v>
      </c>
      <c r="D37">
        <v>7.6723999999999997</v>
      </c>
      <c r="E37">
        <v>1.8461700000000001</v>
      </c>
      <c r="G37">
        <v>6.4747899999999996</v>
      </c>
      <c r="H37">
        <v>1.8392900000000001</v>
      </c>
    </row>
    <row r="38" spans="1:8">
      <c r="A38">
        <v>3.0134400000000001</v>
      </c>
      <c r="B38">
        <v>1.89981</v>
      </c>
      <c r="D38">
        <v>7.8719000000000001</v>
      </c>
      <c r="E38">
        <v>1.8961699999999999</v>
      </c>
      <c r="G38">
        <v>6.6388100000000003</v>
      </c>
      <c r="H38">
        <v>1.8892899999999999</v>
      </c>
    </row>
    <row r="39" spans="1:8">
      <c r="A39">
        <v>3.06331</v>
      </c>
      <c r="B39">
        <v>1.94981</v>
      </c>
      <c r="D39">
        <v>8.0708000000000002</v>
      </c>
      <c r="E39">
        <v>1.94617</v>
      </c>
      <c r="G39">
        <v>6.80206</v>
      </c>
      <c r="H39">
        <v>1.93929</v>
      </c>
    </row>
    <row r="40" spans="1:8">
      <c r="A40">
        <v>3.1130100000000001</v>
      </c>
      <c r="B40">
        <v>1.9998100000000001</v>
      </c>
      <c r="D40">
        <v>8.2689599999999999</v>
      </c>
      <c r="E40">
        <v>1.99617</v>
      </c>
      <c r="G40">
        <v>6.9645400000000004</v>
      </c>
      <c r="H40">
        <v>1.98929</v>
      </c>
    </row>
    <row r="41" spans="1:8">
      <c r="A41">
        <v>3.1625399999999999</v>
      </c>
      <c r="B41">
        <v>2.0498099999999999</v>
      </c>
      <c r="D41">
        <v>8.4657</v>
      </c>
      <c r="E41">
        <v>2.04617</v>
      </c>
      <c r="G41">
        <v>7.1262400000000001</v>
      </c>
      <c r="H41">
        <v>2.0392899999999998</v>
      </c>
    </row>
    <row r="42" spans="1:8">
      <c r="A42">
        <v>3.21191</v>
      </c>
      <c r="B42">
        <v>2.0998100000000002</v>
      </c>
      <c r="D42">
        <v>8.6612100000000005</v>
      </c>
      <c r="E42">
        <v>2.0961699999999999</v>
      </c>
      <c r="G42">
        <v>7.2871699999999997</v>
      </c>
      <c r="H42">
        <v>2.0892900000000001</v>
      </c>
    </row>
    <row r="43" spans="1:8">
      <c r="A43">
        <v>3.26112</v>
      </c>
      <c r="B43">
        <v>2.14981</v>
      </c>
      <c r="D43">
        <v>8.8554200000000005</v>
      </c>
      <c r="E43">
        <v>2.1461700000000001</v>
      </c>
      <c r="G43">
        <v>7.4473099999999999</v>
      </c>
      <c r="H43">
        <v>2.1392899999999999</v>
      </c>
    </row>
    <row r="44" spans="1:8">
      <c r="A44">
        <v>3.3101400000000001</v>
      </c>
      <c r="B44">
        <v>2.1998099999999998</v>
      </c>
      <c r="D44">
        <v>9.0489700000000006</v>
      </c>
      <c r="E44">
        <v>2.19617</v>
      </c>
      <c r="G44">
        <v>7.6066599999999998</v>
      </c>
      <c r="H44">
        <v>2.1892900000000002</v>
      </c>
    </row>
    <row r="45" spans="1:8">
      <c r="A45">
        <v>3.3590399999999998</v>
      </c>
      <c r="B45">
        <v>2.2498100000000001</v>
      </c>
      <c r="D45">
        <v>9.2409999999999997</v>
      </c>
      <c r="E45">
        <v>2.2461700000000002</v>
      </c>
      <c r="G45">
        <v>7.7652200000000002</v>
      </c>
      <c r="H45">
        <v>2.23929</v>
      </c>
    </row>
    <row r="46" spans="1:8">
      <c r="A46">
        <v>3.4077600000000001</v>
      </c>
      <c r="B46">
        <v>2.2998099999999999</v>
      </c>
      <c r="D46">
        <v>9.4289400000000008</v>
      </c>
      <c r="E46">
        <v>2.29617</v>
      </c>
      <c r="G46">
        <v>7.9229700000000003</v>
      </c>
      <c r="H46">
        <v>2.2892899999999998</v>
      </c>
    </row>
    <row r="47" spans="1:8">
      <c r="A47">
        <v>3.4563299999999999</v>
      </c>
      <c r="B47">
        <v>2.3498100000000002</v>
      </c>
      <c r="D47">
        <v>9.6137499999999996</v>
      </c>
      <c r="E47">
        <v>2.3461699999999999</v>
      </c>
      <c r="G47">
        <v>8.0799199999999995</v>
      </c>
      <c r="H47">
        <v>2.3392900000000001</v>
      </c>
    </row>
    <row r="48" spans="1:8">
      <c r="A48">
        <v>3.5047899999999998</v>
      </c>
      <c r="B48">
        <v>2.39981</v>
      </c>
      <c r="D48">
        <v>9.7953200000000002</v>
      </c>
      <c r="E48">
        <v>2.3961700000000001</v>
      </c>
      <c r="G48">
        <v>8.2360600000000002</v>
      </c>
      <c r="H48">
        <v>2.3892899999999999</v>
      </c>
    </row>
    <row r="49" spans="1:11">
      <c r="A49">
        <v>3.5531199999999998</v>
      </c>
      <c r="B49">
        <v>2.4498099999999998</v>
      </c>
      <c r="D49">
        <v>9.9758899999999997</v>
      </c>
      <c r="E49">
        <v>2.44617</v>
      </c>
      <c r="G49">
        <v>8.3913899999999995</v>
      </c>
      <c r="H49">
        <v>2.4392900000000002</v>
      </c>
    </row>
    <row r="50" spans="1:11">
      <c r="A50">
        <v>3.6013500000000001</v>
      </c>
      <c r="B50">
        <v>2.4998100000000001</v>
      </c>
      <c r="D50">
        <v>10.1541</v>
      </c>
      <c r="E50">
        <v>2.4961700000000002</v>
      </c>
      <c r="G50">
        <v>8.54589</v>
      </c>
      <c r="H50">
        <v>2.48929</v>
      </c>
    </row>
    <row r="51" spans="1:11">
      <c r="A51">
        <v>3.6494800000000001</v>
      </c>
      <c r="B51">
        <v>2.5498099999999999</v>
      </c>
      <c r="D51">
        <v>10.3286</v>
      </c>
      <c r="E51">
        <v>2.54617</v>
      </c>
      <c r="G51">
        <v>8.69956</v>
      </c>
      <c r="H51">
        <v>2.5392899999999998</v>
      </c>
    </row>
    <row r="52" spans="1:11">
      <c r="A52">
        <v>3.69753</v>
      </c>
      <c r="B52">
        <v>2.5998100000000002</v>
      </c>
      <c r="D52">
        <v>10.499599999999999</v>
      </c>
      <c r="E52">
        <v>2.5961699999999999</v>
      </c>
      <c r="G52">
        <v>8.8523999999999994</v>
      </c>
      <c r="H52">
        <v>2.5892900000000001</v>
      </c>
    </row>
    <row r="53" spans="1:11">
      <c r="A53">
        <v>3.7454700000000001</v>
      </c>
      <c r="B53">
        <v>2.64981</v>
      </c>
      <c r="D53">
        <v>10.667199999999999</v>
      </c>
      <c r="E53">
        <v>2.6461700000000001</v>
      </c>
      <c r="G53">
        <v>9.0043900000000008</v>
      </c>
      <c r="H53">
        <v>2.6392899999999999</v>
      </c>
    </row>
    <row r="54" spans="1:11">
      <c r="A54">
        <v>3.7933300000000001</v>
      </c>
      <c r="B54">
        <v>2.6998099999999998</v>
      </c>
      <c r="D54">
        <v>10.833</v>
      </c>
      <c r="E54">
        <v>2.69617</v>
      </c>
      <c r="G54">
        <v>9.1555499999999999</v>
      </c>
      <c r="H54">
        <v>2.6892900000000002</v>
      </c>
    </row>
    <row r="55" spans="1:11">
      <c r="A55">
        <v>3.84111</v>
      </c>
      <c r="B55">
        <v>2.7498100000000001</v>
      </c>
      <c r="D55">
        <v>10.997</v>
      </c>
      <c r="E55">
        <v>2.7461700000000002</v>
      </c>
      <c r="G55">
        <v>9.3058399999999999</v>
      </c>
      <c r="H55">
        <v>2.73929</v>
      </c>
    </row>
    <row r="56" spans="1:11">
      <c r="A56">
        <v>3.8888199999999999</v>
      </c>
      <c r="B56">
        <v>2.7998099999999999</v>
      </c>
      <c r="D56">
        <v>11.157</v>
      </c>
      <c r="E56">
        <v>2.79617</v>
      </c>
      <c r="G56">
        <v>9.4552899999999998</v>
      </c>
      <c r="H56">
        <v>2.7892899999999998</v>
      </c>
    </row>
    <row r="57" spans="1:11">
      <c r="A57">
        <v>3.9364300000000001</v>
      </c>
      <c r="B57">
        <v>2.8498100000000002</v>
      </c>
      <c r="D57">
        <v>11.314500000000001</v>
      </c>
      <c r="E57">
        <v>2.8461699999999999</v>
      </c>
      <c r="G57">
        <v>9.6038599999999992</v>
      </c>
      <c r="H57">
        <v>2.8392900000000001</v>
      </c>
    </row>
    <row r="58" spans="1:11">
      <c r="A58">
        <v>3.98394</v>
      </c>
      <c r="B58">
        <v>2.89981</v>
      </c>
      <c r="D58">
        <v>11.4678</v>
      </c>
      <c r="E58">
        <v>2.8961700000000001</v>
      </c>
      <c r="G58">
        <v>9.7515599999999996</v>
      </c>
      <c r="H58">
        <v>2.8892899999999999</v>
      </c>
    </row>
    <row r="59" spans="1:11">
      <c r="A59">
        <v>4.0313600000000003</v>
      </c>
      <c r="B59">
        <v>2.9498099999999998</v>
      </c>
      <c r="D59">
        <v>11.6191</v>
      </c>
      <c r="E59">
        <v>2.94617</v>
      </c>
      <c r="G59">
        <v>9.8983899999999991</v>
      </c>
      <c r="H59">
        <v>2.9392900000000002</v>
      </c>
    </row>
    <row r="60" spans="1:11">
      <c r="A60">
        <v>4.0787100000000001</v>
      </c>
      <c r="B60">
        <v>2.9998100000000001</v>
      </c>
      <c r="D60">
        <v>11.7691</v>
      </c>
      <c r="E60">
        <v>2.9961700000000002</v>
      </c>
      <c r="G60">
        <v>10.0443</v>
      </c>
      <c r="H60">
        <v>2.98929</v>
      </c>
      <c r="K60">
        <f>400*1.15</f>
        <v>459.99999999999994</v>
      </c>
    </row>
    <row r="61" spans="1:11">
      <c r="A61">
        <v>4.1259899999999998</v>
      </c>
      <c r="B61">
        <v>3.0498099999999999</v>
      </c>
      <c r="D61">
        <v>11.917</v>
      </c>
      <c r="E61">
        <v>3.04617</v>
      </c>
      <c r="G61">
        <v>10.189399999999999</v>
      </c>
      <c r="H61">
        <v>3.0392899999999998</v>
      </c>
    </row>
    <row r="62" spans="1:11">
      <c r="A62">
        <v>4.1732199999999997</v>
      </c>
      <c r="B62">
        <v>3.0998100000000002</v>
      </c>
      <c r="D62">
        <v>12.0601</v>
      </c>
      <c r="E62">
        <v>3.0961699999999999</v>
      </c>
      <c r="G62">
        <v>10.333500000000001</v>
      </c>
      <c r="H62">
        <v>3.0892900000000001</v>
      </c>
    </row>
    <row r="63" spans="1:11">
      <c r="A63">
        <v>4.2203900000000001</v>
      </c>
      <c r="B63">
        <v>3.14981</v>
      </c>
      <c r="D63">
        <v>12.200900000000001</v>
      </c>
      <c r="E63">
        <v>3.1461700000000001</v>
      </c>
      <c r="G63">
        <v>10.476699999999999</v>
      </c>
      <c r="H63">
        <v>3.1392899999999999</v>
      </c>
    </row>
    <row r="64" spans="1:11">
      <c r="A64">
        <v>4.2675200000000002</v>
      </c>
      <c r="B64">
        <v>3.1998099999999998</v>
      </c>
      <c r="D64">
        <v>12.337999999999999</v>
      </c>
      <c r="E64">
        <v>3.19617</v>
      </c>
      <c r="G64">
        <v>10.6191</v>
      </c>
      <c r="H64">
        <v>3.1892900000000002</v>
      </c>
    </row>
    <row r="65" spans="1:8">
      <c r="A65">
        <v>4.3145899999999999</v>
      </c>
      <c r="B65">
        <v>3.2498100000000001</v>
      </c>
      <c r="D65">
        <v>12.4716</v>
      </c>
      <c r="E65">
        <v>3.2461700000000002</v>
      </c>
      <c r="G65">
        <v>10.7605</v>
      </c>
      <c r="H65">
        <v>3.23929</v>
      </c>
    </row>
    <row r="66" spans="1:8">
      <c r="A66">
        <v>4.3616000000000001</v>
      </c>
      <c r="B66">
        <v>3.2998099999999999</v>
      </c>
      <c r="D66">
        <v>12.6036</v>
      </c>
      <c r="E66">
        <v>3.29617</v>
      </c>
      <c r="G66">
        <v>10.9009</v>
      </c>
      <c r="H66">
        <v>3.2892899999999998</v>
      </c>
    </row>
    <row r="67" spans="1:8">
      <c r="A67">
        <v>4.4085400000000003</v>
      </c>
      <c r="B67">
        <v>3.3498100000000002</v>
      </c>
      <c r="D67">
        <v>12.734500000000001</v>
      </c>
      <c r="E67">
        <v>3.3461699999999999</v>
      </c>
      <c r="G67">
        <v>11.0404</v>
      </c>
      <c r="H67">
        <v>3.3392900000000001</v>
      </c>
    </row>
    <row r="68" spans="1:8">
      <c r="A68">
        <v>4.4554200000000002</v>
      </c>
      <c r="B68">
        <v>3.39981</v>
      </c>
      <c r="D68">
        <v>12.8637</v>
      </c>
      <c r="E68">
        <v>3.3961700000000001</v>
      </c>
      <c r="G68">
        <v>11.179</v>
      </c>
      <c r="H68">
        <v>3.3892899999999999</v>
      </c>
    </row>
    <row r="69" spans="1:8">
      <c r="A69">
        <v>4.5022500000000001</v>
      </c>
      <c r="B69">
        <v>3.4498099999999998</v>
      </c>
      <c r="D69">
        <v>12.9894</v>
      </c>
      <c r="E69">
        <v>3.44617</v>
      </c>
      <c r="G69">
        <v>11.316599999999999</v>
      </c>
      <c r="H69">
        <v>3.4392900000000002</v>
      </c>
    </row>
    <row r="70" spans="1:8">
      <c r="A70">
        <v>4.54901</v>
      </c>
      <c r="B70">
        <v>3.4998100000000001</v>
      </c>
      <c r="D70">
        <v>13.112399999999999</v>
      </c>
      <c r="E70">
        <v>3.4961700000000002</v>
      </c>
      <c r="G70">
        <v>11.453200000000001</v>
      </c>
      <c r="H70">
        <v>3.48929</v>
      </c>
    </row>
    <row r="71" spans="1:8">
      <c r="A71">
        <v>4.5957100000000004</v>
      </c>
      <c r="B71">
        <v>3.5498099999999999</v>
      </c>
      <c r="D71">
        <v>13.232799999999999</v>
      </c>
      <c r="E71">
        <v>3.54617</v>
      </c>
      <c r="G71">
        <v>11.588900000000001</v>
      </c>
      <c r="H71">
        <v>3.5392899999999998</v>
      </c>
    </row>
    <row r="72" spans="1:8">
      <c r="A72">
        <v>4.6423800000000002</v>
      </c>
      <c r="B72">
        <v>3.5998100000000002</v>
      </c>
      <c r="D72">
        <v>13.3499</v>
      </c>
      <c r="E72">
        <v>3.5961699999999999</v>
      </c>
      <c r="G72">
        <v>11.723599999999999</v>
      </c>
      <c r="H72">
        <v>3.5892900000000001</v>
      </c>
    </row>
    <row r="73" spans="1:8">
      <c r="A73">
        <v>4.6890000000000001</v>
      </c>
      <c r="B73">
        <v>3.64981</v>
      </c>
      <c r="D73">
        <v>13.464700000000001</v>
      </c>
      <c r="E73">
        <v>3.6461700000000001</v>
      </c>
      <c r="G73">
        <v>11.857200000000001</v>
      </c>
      <c r="H73">
        <v>3.6392899999999999</v>
      </c>
    </row>
    <row r="74" spans="1:8">
      <c r="A74">
        <v>4.7355799999999997</v>
      </c>
      <c r="B74">
        <v>3.6998099999999998</v>
      </c>
      <c r="D74">
        <v>13.578200000000001</v>
      </c>
      <c r="E74">
        <v>3.69617</v>
      </c>
      <c r="G74">
        <v>11.9899</v>
      </c>
      <c r="H74">
        <v>3.6892900000000002</v>
      </c>
    </row>
    <row r="75" spans="1:8">
      <c r="A75">
        <v>4.7821199999999999</v>
      </c>
      <c r="B75">
        <v>3.7498100000000001</v>
      </c>
      <c r="D75">
        <v>13.6905</v>
      </c>
      <c r="E75">
        <v>3.7461700000000002</v>
      </c>
      <c r="G75">
        <v>12.121600000000001</v>
      </c>
      <c r="H75">
        <v>3.73929</v>
      </c>
    </row>
    <row r="76" spans="1:8">
      <c r="A76">
        <v>4.8286100000000003</v>
      </c>
      <c r="B76">
        <v>3.7998099999999999</v>
      </c>
      <c r="D76">
        <v>13.8012</v>
      </c>
      <c r="E76">
        <v>3.79617</v>
      </c>
      <c r="G76">
        <v>12.2522</v>
      </c>
      <c r="H76">
        <v>3.7892899999999998</v>
      </c>
    </row>
    <row r="77" spans="1:8">
      <c r="A77">
        <v>4.8750499999999999</v>
      </c>
      <c r="B77">
        <v>3.8498100000000002</v>
      </c>
      <c r="D77">
        <v>13.9093</v>
      </c>
      <c r="E77">
        <v>3.8461699999999999</v>
      </c>
      <c r="G77">
        <v>12.3817</v>
      </c>
      <c r="H77">
        <v>3.8392900000000001</v>
      </c>
    </row>
    <row r="78" spans="1:8">
      <c r="A78">
        <v>4.9214399999999996</v>
      </c>
      <c r="B78">
        <v>3.89981</v>
      </c>
      <c r="D78">
        <v>14.015599999999999</v>
      </c>
      <c r="E78">
        <v>3.8961700000000001</v>
      </c>
      <c r="G78">
        <v>12.510300000000001</v>
      </c>
      <c r="H78">
        <v>3.8892899999999999</v>
      </c>
    </row>
    <row r="79" spans="1:8">
      <c r="A79">
        <v>4.9677699999999998</v>
      </c>
      <c r="B79">
        <v>3.9498099999999998</v>
      </c>
      <c r="D79">
        <v>14.120200000000001</v>
      </c>
      <c r="E79">
        <v>3.94617</v>
      </c>
      <c r="G79">
        <v>12.637700000000001</v>
      </c>
      <c r="H79">
        <v>3.9392900000000002</v>
      </c>
    </row>
    <row r="80" spans="1:8">
      <c r="A80">
        <v>5.0140399999999996</v>
      </c>
      <c r="B80">
        <v>3.9998100000000001</v>
      </c>
      <c r="D80">
        <v>14.2209</v>
      </c>
      <c r="E80">
        <v>3.9961700000000002</v>
      </c>
      <c r="G80">
        <v>12.7639</v>
      </c>
      <c r="H80">
        <v>3.98929</v>
      </c>
    </row>
    <row r="81" spans="1:8">
      <c r="A81">
        <v>5.0602600000000004</v>
      </c>
      <c r="B81">
        <v>4.0498099999999999</v>
      </c>
      <c r="D81">
        <v>14.3195</v>
      </c>
      <c r="E81">
        <v>4.04617</v>
      </c>
      <c r="G81">
        <v>12.8887</v>
      </c>
      <c r="H81">
        <v>4.0392900000000003</v>
      </c>
    </row>
    <row r="82" spans="1:8">
      <c r="A82">
        <v>5.1064400000000001</v>
      </c>
      <c r="B82">
        <v>4.0998099999999997</v>
      </c>
      <c r="D82">
        <v>14.416700000000001</v>
      </c>
      <c r="E82">
        <v>4.0961699999999999</v>
      </c>
      <c r="G82">
        <v>13.0116</v>
      </c>
      <c r="H82">
        <v>4.0892900000000001</v>
      </c>
    </row>
    <row r="83" spans="1:8">
      <c r="A83">
        <v>5.1525800000000004</v>
      </c>
      <c r="B83">
        <v>4.1498100000000004</v>
      </c>
      <c r="D83">
        <v>14.512700000000001</v>
      </c>
      <c r="E83">
        <v>4.1461699999999997</v>
      </c>
      <c r="G83">
        <v>13.133100000000001</v>
      </c>
      <c r="H83">
        <v>4.1392899999999999</v>
      </c>
    </row>
    <row r="84" spans="1:8">
      <c r="A84">
        <v>5.19869</v>
      </c>
      <c r="B84">
        <v>4.1998100000000003</v>
      </c>
      <c r="D84">
        <v>14.6075</v>
      </c>
      <c r="E84">
        <v>4.1961700000000004</v>
      </c>
      <c r="G84">
        <v>13.253399999999999</v>
      </c>
      <c r="H84">
        <v>4.1892899999999997</v>
      </c>
    </row>
    <row r="85" spans="1:8">
      <c r="A85">
        <v>5.2447499999999998</v>
      </c>
      <c r="B85">
        <v>4.2498100000000001</v>
      </c>
      <c r="D85">
        <v>14.701000000000001</v>
      </c>
      <c r="E85">
        <v>4.2461700000000002</v>
      </c>
      <c r="G85">
        <v>13.372299999999999</v>
      </c>
      <c r="H85">
        <v>4.2392899999999996</v>
      </c>
    </row>
    <row r="86" spans="1:8">
      <c r="A86">
        <v>5.2907700000000002</v>
      </c>
      <c r="B86">
        <v>4.2998099999999999</v>
      </c>
      <c r="D86">
        <v>14.7927</v>
      </c>
      <c r="E86">
        <v>4.29617</v>
      </c>
      <c r="G86">
        <v>13.4892</v>
      </c>
      <c r="H86">
        <v>4.2892900000000003</v>
      </c>
    </row>
    <row r="87" spans="1:8">
      <c r="A87">
        <v>5.3367399999999998</v>
      </c>
      <c r="B87">
        <v>4.3498099999999997</v>
      </c>
      <c r="D87">
        <v>14.882899999999999</v>
      </c>
      <c r="E87">
        <v>4.3461699999999999</v>
      </c>
      <c r="G87">
        <v>13.6045</v>
      </c>
      <c r="H87">
        <v>4.3392900000000001</v>
      </c>
    </row>
    <row r="88" spans="1:8">
      <c r="A88">
        <v>5.3826799999999997</v>
      </c>
      <c r="B88">
        <v>4.3998100000000004</v>
      </c>
      <c r="D88">
        <v>14.9712</v>
      </c>
      <c r="E88">
        <v>4.3961699999999997</v>
      </c>
      <c r="G88">
        <v>13.7173</v>
      </c>
      <c r="H88">
        <v>4.3892899999999999</v>
      </c>
    </row>
    <row r="89" spans="1:8">
      <c r="A89">
        <v>5.4285800000000002</v>
      </c>
      <c r="B89">
        <v>4.4498100000000003</v>
      </c>
      <c r="D89">
        <v>15.057700000000001</v>
      </c>
      <c r="E89">
        <v>4.4461700000000004</v>
      </c>
      <c r="G89">
        <v>13.8248</v>
      </c>
      <c r="H89">
        <v>4.4392899999999997</v>
      </c>
    </row>
    <row r="90" spans="1:8">
      <c r="A90">
        <v>5.4744299999999999</v>
      </c>
      <c r="B90">
        <v>4.4998100000000001</v>
      </c>
      <c r="D90">
        <v>15.142799999999999</v>
      </c>
      <c r="E90">
        <v>4.4961700000000002</v>
      </c>
      <c r="G90">
        <v>13.9305</v>
      </c>
      <c r="H90">
        <v>4.4892899999999996</v>
      </c>
    </row>
    <row r="91" spans="1:8">
      <c r="A91">
        <v>5.5202400000000003</v>
      </c>
      <c r="B91">
        <v>4.5498099999999999</v>
      </c>
      <c r="D91">
        <v>15.2264</v>
      </c>
      <c r="E91">
        <v>4.54617</v>
      </c>
      <c r="G91">
        <v>14.0343</v>
      </c>
      <c r="H91">
        <v>4.5392900000000003</v>
      </c>
    </row>
    <row r="92" spans="1:8">
      <c r="A92">
        <v>5.5660100000000003</v>
      </c>
      <c r="B92">
        <v>4.5998099999999997</v>
      </c>
      <c r="D92">
        <v>15.3081</v>
      </c>
      <c r="E92">
        <v>4.5961699999999999</v>
      </c>
      <c r="G92">
        <v>14.1365</v>
      </c>
      <c r="H92">
        <v>4.5892900000000001</v>
      </c>
    </row>
    <row r="93" spans="1:8">
      <c r="A93">
        <v>5.6117400000000002</v>
      </c>
      <c r="B93">
        <v>4.6498100000000004</v>
      </c>
      <c r="D93">
        <v>15.3886</v>
      </c>
      <c r="E93">
        <v>4.6461699999999997</v>
      </c>
      <c r="G93">
        <v>14.237299999999999</v>
      </c>
      <c r="H93">
        <v>4.6392899999999999</v>
      </c>
    </row>
    <row r="94" spans="1:8">
      <c r="A94">
        <v>5.6574299999999997</v>
      </c>
      <c r="B94">
        <v>4.6998100000000003</v>
      </c>
      <c r="D94">
        <v>15.468</v>
      </c>
      <c r="E94">
        <v>4.6961700000000004</v>
      </c>
      <c r="G94">
        <v>14.3368</v>
      </c>
      <c r="H94">
        <v>4.6892899999999997</v>
      </c>
    </row>
    <row r="95" spans="1:8">
      <c r="A95">
        <v>5.7030900000000004</v>
      </c>
      <c r="B95">
        <v>4.7498100000000001</v>
      </c>
      <c r="D95">
        <v>15.546799999999999</v>
      </c>
      <c r="E95">
        <v>4.7461700000000002</v>
      </c>
      <c r="G95">
        <v>14.4346</v>
      </c>
      <c r="H95">
        <v>4.7392899999999996</v>
      </c>
    </row>
    <row r="96" spans="1:8">
      <c r="A96">
        <v>5.74871</v>
      </c>
      <c r="B96">
        <v>4.7998099999999999</v>
      </c>
      <c r="D96">
        <v>15.624599999999999</v>
      </c>
      <c r="E96">
        <v>4.79617</v>
      </c>
      <c r="G96">
        <v>14.530200000000001</v>
      </c>
      <c r="H96">
        <v>4.7892900000000003</v>
      </c>
    </row>
    <row r="97" spans="1:8">
      <c r="A97">
        <v>5.7942999999999998</v>
      </c>
      <c r="B97">
        <v>4.8498099999999997</v>
      </c>
      <c r="D97">
        <v>15.700799999999999</v>
      </c>
      <c r="E97">
        <v>4.8461699999999999</v>
      </c>
      <c r="G97">
        <v>14.6244</v>
      </c>
      <c r="H97">
        <v>4.8392900000000001</v>
      </c>
    </row>
    <row r="98" spans="1:8">
      <c r="A98">
        <v>5.8398599999999998</v>
      </c>
      <c r="B98">
        <v>4.8998100000000004</v>
      </c>
      <c r="D98">
        <v>15.7759</v>
      </c>
      <c r="E98">
        <v>4.8961699999999997</v>
      </c>
      <c r="G98">
        <v>14.716900000000001</v>
      </c>
      <c r="H98">
        <v>4.8892899999999999</v>
      </c>
    </row>
    <row r="99" spans="1:8">
      <c r="A99">
        <v>5.8853799999999996</v>
      </c>
      <c r="B99">
        <v>4.9498100000000003</v>
      </c>
      <c r="D99">
        <v>15.8497</v>
      </c>
      <c r="E99">
        <v>4.9461700000000004</v>
      </c>
      <c r="G99">
        <v>14.806100000000001</v>
      </c>
      <c r="H99">
        <v>4.9392899999999997</v>
      </c>
    </row>
    <row r="100" spans="1:8">
      <c r="A100">
        <v>5.9308699999999996</v>
      </c>
      <c r="B100">
        <v>4.9998100000000001</v>
      </c>
      <c r="D100">
        <v>15.9224</v>
      </c>
      <c r="E100">
        <v>4.9961700000000002</v>
      </c>
      <c r="G100">
        <v>14.8917</v>
      </c>
      <c r="H100">
        <v>4.9892899999999996</v>
      </c>
    </row>
    <row r="101" spans="1:8">
      <c r="A101">
        <v>5.8564100000000003</v>
      </c>
      <c r="B101">
        <v>4.8998100000000004</v>
      </c>
      <c r="D101">
        <v>15.741099999999999</v>
      </c>
      <c r="E101">
        <v>4.8961699999999997</v>
      </c>
      <c r="G101">
        <v>14.5229</v>
      </c>
      <c r="H101">
        <v>4.8892899999999999</v>
      </c>
    </row>
    <row r="102" spans="1:8">
      <c r="A102">
        <v>5.7592600000000003</v>
      </c>
      <c r="B102">
        <v>4.7998099999999999</v>
      </c>
      <c r="D102">
        <v>15.5175</v>
      </c>
      <c r="E102">
        <v>4.79617</v>
      </c>
      <c r="G102">
        <v>14.103199999999999</v>
      </c>
      <c r="H102">
        <v>4.7892900000000003</v>
      </c>
    </row>
    <row r="103" spans="1:8">
      <c r="A103">
        <v>5.6620400000000002</v>
      </c>
      <c r="B103">
        <v>4.6998100000000003</v>
      </c>
      <c r="D103">
        <v>15.288399999999999</v>
      </c>
      <c r="E103">
        <v>4.6961700000000004</v>
      </c>
      <c r="G103">
        <v>13.681699999999999</v>
      </c>
      <c r="H103">
        <v>4.6892899999999997</v>
      </c>
    </row>
    <row r="104" spans="1:8">
      <c r="A104">
        <v>5.5647500000000001</v>
      </c>
      <c r="B104">
        <v>4.5998099999999997</v>
      </c>
      <c r="D104">
        <v>15.0555</v>
      </c>
      <c r="E104">
        <v>4.5961699999999999</v>
      </c>
      <c r="G104">
        <v>13.2592</v>
      </c>
      <c r="H104">
        <v>4.5892900000000001</v>
      </c>
    </row>
    <row r="105" spans="1:8">
      <c r="A105">
        <v>5.4673999999999996</v>
      </c>
      <c r="B105">
        <v>4.4998100000000001</v>
      </c>
      <c r="D105">
        <v>14.8142</v>
      </c>
      <c r="E105">
        <v>4.4961700000000002</v>
      </c>
      <c r="G105">
        <v>12.836499999999999</v>
      </c>
      <c r="H105">
        <v>4.4892899999999996</v>
      </c>
    </row>
    <row r="106" spans="1:8">
      <c r="A106">
        <v>5.36998</v>
      </c>
      <c r="B106">
        <v>4.3998100000000004</v>
      </c>
      <c r="D106">
        <v>14.5647</v>
      </c>
      <c r="E106">
        <v>4.3961699999999997</v>
      </c>
      <c r="G106">
        <v>12.4132</v>
      </c>
      <c r="H106">
        <v>4.3892899999999999</v>
      </c>
    </row>
    <row r="107" spans="1:8">
      <c r="A107">
        <v>5.2724900000000003</v>
      </c>
      <c r="B107">
        <v>4.2998099999999999</v>
      </c>
      <c r="D107">
        <v>14.3071</v>
      </c>
      <c r="E107">
        <v>4.29617</v>
      </c>
      <c r="G107">
        <v>11.9879</v>
      </c>
      <c r="H107">
        <v>4.2892900000000003</v>
      </c>
    </row>
    <row r="108" spans="1:8">
      <c r="A108">
        <v>5.1749000000000001</v>
      </c>
      <c r="B108">
        <v>4.1998100000000003</v>
      </c>
      <c r="D108">
        <v>14.0426</v>
      </c>
      <c r="E108">
        <v>4.1961700000000004</v>
      </c>
      <c r="G108">
        <v>11.560600000000001</v>
      </c>
      <c r="H108">
        <v>4.1892899999999997</v>
      </c>
    </row>
    <row r="109" spans="1:8">
      <c r="A109">
        <v>5.0771899999999999</v>
      </c>
      <c r="B109">
        <v>4.0998099999999997</v>
      </c>
      <c r="D109">
        <v>13.7728</v>
      </c>
      <c r="E109">
        <v>4.0961699999999999</v>
      </c>
      <c r="G109">
        <v>11.1328</v>
      </c>
      <c r="H109">
        <v>4.0892900000000001</v>
      </c>
    </row>
    <row r="110" spans="1:8">
      <c r="A110">
        <v>4.9794299999999998</v>
      </c>
      <c r="B110">
        <v>3.9998100000000001</v>
      </c>
      <c r="D110">
        <v>13.4907</v>
      </c>
      <c r="E110">
        <v>3.9961700000000002</v>
      </c>
      <c r="G110">
        <v>10.7049</v>
      </c>
      <c r="H110">
        <v>3.98929</v>
      </c>
    </row>
    <row r="111" spans="1:8">
      <c r="A111">
        <v>4.8815200000000001</v>
      </c>
      <c r="B111">
        <v>3.89981</v>
      </c>
      <c r="D111">
        <v>13.198399999999999</v>
      </c>
      <c r="E111">
        <v>3.8961700000000001</v>
      </c>
      <c r="G111">
        <v>10.277100000000001</v>
      </c>
      <c r="H111">
        <v>3.8892899999999999</v>
      </c>
    </row>
    <row r="112" spans="1:8">
      <c r="A112">
        <v>4.7835400000000003</v>
      </c>
      <c r="B112">
        <v>3.7998099999999999</v>
      </c>
      <c r="D112">
        <v>12.8969</v>
      </c>
      <c r="E112">
        <v>3.79617</v>
      </c>
      <c r="G112">
        <v>9.84924</v>
      </c>
      <c r="H112">
        <v>3.7892899999999998</v>
      </c>
    </row>
    <row r="113" spans="1:8">
      <c r="A113">
        <v>4.6854699999999996</v>
      </c>
      <c r="B113">
        <v>3.6998099999999998</v>
      </c>
      <c r="D113">
        <v>12.591100000000001</v>
      </c>
      <c r="E113">
        <v>3.69617</v>
      </c>
      <c r="G113">
        <v>9.4214400000000005</v>
      </c>
      <c r="H113">
        <v>3.6892900000000002</v>
      </c>
    </row>
    <row r="114" spans="1:8">
      <c r="A114">
        <v>4.5873299999999997</v>
      </c>
      <c r="B114">
        <v>3.5998100000000002</v>
      </c>
      <c r="D114">
        <v>12.2707</v>
      </c>
      <c r="E114">
        <v>3.5961699999999999</v>
      </c>
      <c r="G114">
        <v>8.9936600000000002</v>
      </c>
      <c r="H114">
        <v>3.5892900000000001</v>
      </c>
    </row>
    <row r="115" spans="1:8">
      <c r="A115">
        <v>4.4889799999999997</v>
      </c>
      <c r="B115">
        <v>3.4998100000000001</v>
      </c>
      <c r="D115">
        <v>11.937099999999999</v>
      </c>
      <c r="E115">
        <v>3.4961700000000002</v>
      </c>
      <c r="G115">
        <v>8.5659100000000006</v>
      </c>
      <c r="H115">
        <v>3.48929</v>
      </c>
    </row>
    <row r="116" spans="1:8">
      <c r="A116">
        <v>4.3904500000000004</v>
      </c>
      <c r="B116">
        <v>3.39981</v>
      </c>
      <c r="D116">
        <v>11.5984</v>
      </c>
      <c r="E116">
        <v>3.3961700000000001</v>
      </c>
      <c r="G116">
        <v>8.1382399999999997</v>
      </c>
      <c r="H116">
        <v>3.3892899999999999</v>
      </c>
    </row>
    <row r="117" spans="1:8">
      <c r="A117">
        <v>4.2917899999999998</v>
      </c>
      <c r="B117">
        <v>3.2998099999999999</v>
      </c>
      <c r="D117">
        <v>11.247299999999999</v>
      </c>
      <c r="E117">
        <v>3.29617</v>
      </c>
      <c r="G117">
        <v>7.7106500000000002</v>
      </c>
      <c r="H117">
        <v>3.2892899999999998</v>
      </c>
    </row>
    <row r="118" spans="1:8">
      <c r="A118">
        <v>4.1928900000000002</v>
      </c>
      <c r="B118">
        <v>3.1998099999999998</v>
      </c>
      <c r="D118">
        <v>10.881600000000001</v>
      </c>
      <c r="E118">
        <v>3.19617</v>
      </c>
      <c r="G118">
        <v>7.2831200000000003</v>
      </c>
      <c r="H118">
        <v>3.1892900000000002</v>
      </c>
    </row>
    <row r="119" spans="1:8">
      <c r="A119">
        <v>4.0938299999999996</v>
      </c>
      <c r="B119">
        <v>3.0998100000000002</v>
      </c>
      <c r="D119">
        <v>10.507400000000001</v>
      </c>
      <c r="E119">
        <v>3.0961699999999999</v>
      </c>
      <c r="G119">
        <v>6.85562</v>
      </c>
      <c r="H119">
        <v>3.0892900000000001</v>
      </c>
    </row>
    <row r="120" spans="1:8">
      <c r="A120">
        <v>3.9946299999999999</v>
      </c>
      <c r="B120">
        <v>2.9998100000000001</v>
      </c>
      <c r="D120">
        <v>10.1226</v>
      </c>
      <c r="E120">
        <v>2.9961700000000002</v>
      </c>
      <c r="G120">
        <v>6.4281699999999997</v>
      </c>
      <c r="H120">
        <v>2.98929</v>
      </c>
    </row>
    <row r="121" spans="1:8">
      <c r="A121">
        <v>3.8951799999999999</v>
      </c>
      <c r="B121">
        <v>2.89981</v>
      </c>
      <c r="D121">
        <v>9.7269000000000005</v>
      </c>
      <c r="E121">
        <v>2.8961700000000001</v>
      </c>
      <c r="G121">
        <v>6.0008499999999998</v>
      </c>
      <c r="H121">
        <v>2.8892899999999999</v>
      </c>
    </row>
    <row r="122" spans="1:8">
      <c r="A122">
        <v>3.79556</v>
      </c>
      <c r="B122">
        <v>2.7998099999999999</v>
      </c>
      <c r="D122">
        <v>9.3235399999999995</v>
      </c>
      <c r="E122">
        <v>2.79617</v>
      </c>
      <c r="G122">
        <v>5.57369</v>
      </c>
      <c r="H122">
        <v>2.7892899999999998</v>
      </c>
    </row>
    <row r="123" spans="1:8">
      <c r="A123">
        <v>3.6955</v>
      </c>
      <c r="B123">
        <v>2.6998099999999998</v>
      </c>
      <c r="D123">
        <v>8.9089100000000006</v>
      </c>
      <c r="E123">
        <v>2.69617</v>
      </c>
      <c r="G123">
        <v>5.1467000000000001</v>
      </c>
      <c r="H123">
        <v>2.6892900000000002</v>
      </c>
    </row>
    <row r="124" spans="1:8">
      <c r="A124">
        <v>3.5949900000000001</v>
      </c>
      <c r="B124">
        <v>2.5998100000000002</v>
      </c>
      <c r="D124">
        <v>8.4829699999999999</v>
      </c>
      <c r="E124">
        <v>2.5961699999999999</v>
      </c>
      <c r="G124">
        <v>4.7198799999999999</v>
      </c>
      <c r="H124">
        <v>2.5892900000000001</v>
      </c>
    </row>
    <row r="125" spans="1:8">
      <c r="A125">
        <v>3.4942199999999999</v>
      </c>
      <c r="B125">
        <v>2.4998100000000001</v>
      </c>
      <c r="D125">
        <v>8.05044</v>
      </c>
      <c r="E125">
        <v>2.4961700000000002</v>
      </c>
      <c r="G125">
        <v>4.2931999999999997</v>
      </c>
      <c r="H125">
        <v>2.48929</v>
      </c>
    </row>
    <row r="126" spans="1:8">
      <c r="A126">
        <v>3.3931200000000001</v>
      </c>
      <c r="B126">
        <v>2.39981</v>
      </c>
      <c r="D126">
        <v>7.6042199999999998</v>
      </c>
      <c r="E126">
        <v>2.3961700000000001</v>
      </c>
      <c r="G126">
        <v>3.8670300000000002</v>
      </c>
      <c r="H126">
        <v>2.3892899999999999</v>
      </c>
    </row>
    <row r="127" spans="1:8">
      <c r="A127">
        <v>3.2914099999999999</v>
      </c>
      <c r="B127">
        <v>2.2998099999999999</v>
      </c>
      <c r="D127">
        <v>7.1508399999999996</v>
      </c>
      <c r="E127">
        <v>2.29617</v>
      </c>
      <c r="G127">
        <v>3.4411399999999999</v>
      </c>
      <c r="H127">
        <v>2.2892899999999998</v>
      </c>
    </row>
    <row r="128" spans="1:8">
      <c r="A128">
        <v>3.1891699999999998</v>
      </c>
      <c r="B128">
        <v>2.1998099999999998</v>
      </c>
      <c r="D128">
        <v>6.6941699999999997</v>
      </c>
      <c r="E128">
        <v>2.19617</v>
      </c>
      <c r="G128">
        <v>3.0156299999999998</v>
      </c>
      <c r="H128">
        <v>2.1892900000000002</v>
      </c>
    </row>
    <row r="129" spans="1:8">
      <c r="A129">
        <v>3.0863900000000002</v>
      </c>
      <c r="B129">
        <v>2.0998100000000002</v>
      </c>
      <c r="D129">
        <v>6.2359400000000003</v>
      </c>
      <c r="E129">
        <v>2.0961699999999999</v>
      </c>
      <c r="G129">
        <v>2.5905100000000001</v>
      </c>
      <c r="H129">
        <v>2.0892900000000001</v>
      </c>
    </row>
    <row r="130" spans="1:8">
      <c r="A130">
        <v>2.98292</v>
      </c>
      <c r="B130">
        <v>1.9998100000000001</v>
      </c>
      <c r="D130">
        <v>5.7748299999999997</v>
      </c>
      <c r="E130">
        <v>1.99617</v>
      </c>
      <c r="G130">
        <v>2.1661700000000002</v>
      </c>
      <c r="H130">
        <v>1.98929</v>
      </c>
    </row>
    <row r="131" spans="1:8">
      <c r="A131">
        <v>2.87846</v>
      </c>
      <c r="B131">
        <v>1.89981</v>
      </c>
      <c r="D131">
        <v>5.3109900000000003</v>
      </c>
      <c r="E131">
        <v>1.8961699999999999</v>
      </c>
      <c r="G131">
        <v>1.74254</v>
      </c>
      <c r="H131">
        <v>1.8892899999999999</v>
      </c>
    </row>
    <row r="132" spans="1:8">
      <c r="A132">
        <v>2.7733099999999999</v>
      </c>
      <c r="B132">
        <v>1.7998099999999999</v>
      </c>
      <c r="D132">
        <v>4.8470599999999999</v>
      </c>
      <c r="E132">
        <v>1.79617</v>
      </c>
      <c r="G132">
        <v>1.32037</v>
      </c>
      <c r="H132">
        <v>1.78929</v>
      </c>
    </row>
    <row r="133" spans="1:8">
      <c r="A133">
        <v>2.6671200000000002</v>
      </c>
      <c r="B133">
        <v>1.69981</v>
      </c>
      <c r="D133">
        <v>4.3831699999999998</v>
      </c>
      <c r="E133">
        <v>1.69617</v>
      </c>
      <c r="G133">
        <v>0.89926099999999998</v>
      </c>
      <c r="H133">
        <v>1.68929</v>
      </c>
    </row>
    <row r="134" spans="1:8">
      <c r="A134">
        <v>2.55993</v>
      </c>
      <c r="B134">
        <v>1.59981</v>
      </c>
      <c r="D134">
        <v>3.9192999999999998</v>
      </c>
      <c r="E134">
        <v>1.5961700000000001</v>
      </c>
      <c r="G134">
        <v>0.47975899999999999</v>
      </c>
      <c r="H134">
        <v>1.5892900000000001</v>
      </c>
    </row>
    <row r="135" spans="1:8">
      <c r="A135">
        <v>2.4518</v>
      </c>
      <c r="B135">
        <v>1.4998100000000001</v>
      </c>
      <c r="D135">
        <v>3.4555199999999999</v>
      </c>
      <c r="E135">
        <v>1.49617</v>
      </c>
      <c r="G135">
        <v>6.3525100000000001E-2</v>
      </c>
      <c r="H135">
        <v>1.48929</v>
      </c>
    </row>
    <row r="136" spans="1:8">
      <c r="A136">
        <v>2.3424</v>
      </c>
      <c r="B136">
        <v>1.39981</v>
      </c>
      <c r="D136">
        <v>2.9918100000000001</v>
      </c>
      <c r="E136">
        <v>1.3961699999999999</v>
      </c>
      <c r="G136">
        <v>-0.350414</v>
      </c>
      <c r="H136">
        <v>1.3892899999999999</v>
      </c>
    </row>
    <row r="137" spans="1:8">
      <c r="A137">
        <v>2.23109</v>
      </c>
      <c r="B137">
        <v>1.2998099999999999</v>
      </c>
      <c r="D137">
        <v>2.5282300000000002</v>
      </c>
      <c r="E137">
        <v>1.29617</v>
      </c>
      <c r="G137">
        <v>-0.75890100000000005</v>
      </c>
      <c r="H137">
        <v>1.28929</v>
      </c>
    </row>
    <row r="138" spans="1:8">
      <c r="A138">
        <v>2.1178699999999999</v>
      </c>
      <c r="B138">
        <v>1.19981</v>
      </c>
      <c r="D138">
        <v>2.0647899999999999</v>
      </c>
      <c r="E138">
        <v>1.19617</v>
      </c>
      <c r="G138">
        <v>-1.1609400000000001</v>
      </c>
      <c r="H138">
        <v>1.18929</v>
      </c>
    </row>
    <row r="139" spans="1:8">
      <c r="A139">
        <v>2.00238</v>
      </c>
      <c r="B139">
        <v>1.09981</v>
      </c>
      <c r="D139">
        <v>1.60165</v>
      </c>
      <c r="E139">
        <v>1.0961700000000001</v>
      </c>
      <c r="G139">
        <v>-1.5531999999999999</v>
      </c>
      <c r="H139">
        <v>1.0892900000000001</v>
      </c>
    </row>
    <row r="140" spans="1:8">
      <c r="A140">
        <v>1.8840600000000001</v>
      </c>
      <c r="B140">
        <v>0.99981200000000003</v>
      </c>
      <c r="D140">
        <v>1.1390100000000001</v>
      </c>
      <c r="E140">
        <v>0.99616700000000002</v>
      </c>
      <c r="G140">
        <v>-1.9321999999999999</v>
      </c>
      <c r="H140">
        <v>0.98929199999999995</v>
      </c>
    </row>
    <row r="141" spans="1:8">
      <c r="A141">
        <v>1.7614399999999999</v>
      </c>
      <c r="B141">
        <v>0.89981199999999995</v>
      </c>
      <c r="D141">
        <v>0.67696400000000001</v>
      </c>
      <c r="E141">
        <v>0.89616700000000005</v>
      </c>
      <c r="G141">
        <v>-2.29956</v>
      </c>
      <c r="H141">
        <v>0.88929199999999997</v>
      </c>
    </row>
    <row r="142" spans="1:8">
      <c r="A142">
        <v>1.6337900000000001</v>
      </c>
      <c r="B142">
        <v>0.79981199999999997</v>
      </c>
      <c r="D142">
        <v>0.21624099999999999</v>
      </c>
      <c r="E142">
        <v>0.79616699999999996</v>
      </c>
      <c r="G142">
        <v>-2.6568999999999998</v>
      </c>
      <c r="H142">
        <v>0.78929199999999999</v>
      </c>
    </row>
    <row r="143" spans="1:8">
      <c r="A143">
        <v>1.4995099999999999</v>
      </c>
      <c r="B143">
        <v>0.69981199999999999</v>
      </c>
      <c r="D143">
        <v>-0.24248800000000001</v>
      </c>
      <c r="E143">
        <v>0.69616699999999998</v>
      </c>
      <c r="G143">
        <v>-3.0102099999999998</v>
      </c>
      <c r="H143">
        <v>0.68929200000000002</v>
      </c>
    </row>
    <row r="144" spans="1:8">
      <c r="A144">
        <v>1.3569899999999999</v>
      </c>
      <c r="B144">
        <v>0.59981200000000001</v>
      </c>
      <c r="D144">
        <v>-0.69715499999999997</v>
      </c>
      <c r="E144">
        <v>0.596167</v>
      </c>
      <c r="G144">
        <v>-3.3599899999999998</v>
      </c>
      <c r="H144">
        <v>0.58929200000000004</v>
      </c>
    </row>
    <row r="145" spans="1:8">
      <c r="A145">
        <v>1.20224</v>
      </c>
      <c r="B145">
        <v>0.49981199999999998</v>
      </c>
      <c r="D145">
        <v>-1.1450499999999999</v>
      </c>
      <c r="E145">
        <v>0.49616700000000002</v>
      </c>
      <c r="G145">
        <v>-3.7083300000000001</v>
      </c>
      <c r="H145">
        <v>0.489292</v>
      </c>
    </row>
    <row r="146" spans="1:8">
      <c r="A146">
        <v>1.0270999999999999</v>
      </c>
      <c r="B146">
        <v>0.399812</v>
      </c>
      <c r="D146">
        <v>-1.58386</v>
      </c>
      <c r="E146">
        <v>0.39616699999999999</v>
      </c>
      <c r="G146">
        <v>-4.0552599999999996</v>
      </c>
      <c r="H146">
        <v>0.38929200000000003</v>
      </c>
    </row>
    <row r="147" spans="1:8">
      <c r="A147">
        <v>0.82794500000000004</v>
      </c>
      <c r="B147">
        <v>0.29981200000000002</v>
      </c>
      <c r="D147">
        <v>-2.0153300000000001</v>
      </c>
      <c r="E147">
        <v>0.29616700000000001</v>
      </c>
      <c r="G147">
        <v>-4.4008000000000003</v>
      </c>
      <c r="H147">
        <v>0.28929199999999999</v>
      </c>
    </row>
    <row r="148" spans="1:8">
      <c r="A148">
        <v>0.55368600000000001</v>
      </c>
      <c r="B148">
        <v>0.19981199999999999</v>
      </c>
      <c r="D148">
        <v>-2.4420500000000001</v>
      </c>
      <c r="E148">
        <v>0.19616700000000001</v>
      </c>
      <c r="G148">
        <v>-4.7449500000000002</v>
      </c>
      <c r="H148">
        <v>0.18929199999999999</v>
      </c>
    </row>
    <row r="149" spans="1:8">
      <c r="A149">
        <v>0.16891200000000001</v>
      </c>
      <c r="B149">
        <v>9.9811899999999995E-2</v>
      </c>
      <c r="D149">
        <v>-2.86449</v>
      </c>
      <c r="E149">
        <v>9.6167299999999997E-2</v>
      </c>
      <c r="G149">
        <v>-5.0876700000000001</v>
      </c>
      <c r="H149">
        <v>8.9292399999999994E-2</v>
      </c>
    </row>
    <row r="150" spans="1:8">
      <c r="A150">
        <v>-0.20186100000000001</v>
      </c>
      <c r="B150">
        <v>-1.8810300000000001E-4</v>
      </c>
      <c r="D150">
        <f>-3.28416</f>
        <v>-3.28416</v>
      </c>
      <c r="E150">
        <v>-3.83271E-3</v>
      </c>
      <c r="G150">
        <v>-5.4289699999999996</v>
      </c>
      <c r="H150">
        <v>-1.0707599999999999E-2</v>
      </c>
    </row>
    <row r="151" spans="1:8">
      <c r="A151">
        <v>-0.53622000000000003</v>
      </c>
      <c r="B151">
        <v>-0.100188</v>
      </c>
      <c r="D151">
        <f>-3.69602</f>
        <v>-3.6960199999999999</v>
      </c>
      <c r="E151">
        <v>-0.10383299999999999</v>
      </c>
      <c r="G151">
        <v>-5.7688300000000003</v>
      </c>
      <c r="H151">
        <v>-0.110708</v>
      </c>
    </row>
    <row r="152" spans="1:8">
      <c r="A152">
        <v>-0.79191699999999998</v>
      </c>
      <c r="B152">
        <v>-0.200188</v>
      </c>
      <c r="D152">
        <f>-4.09882</f>
        <v>-4.0988199999999999</v>
      </c>
      <c r="E152">
        <v>-0.20383299999999999</v>
      </c>
      <c r="G152">
        <v>-6.10724</v>
      </c>
      <c r="H152">
        <v>-0.21070800000000001</v>
      </c>
    </row>
    <row r="153" spans="1:8">
      <c r="A153">
        <v>-0.95036299999999996</v>
      </c>
      <c r="B153">
        <v>-0.30018800000000001</v>
      </c>
      <c r="D153">
        <f>-4.49215</f>
        <v>-4.4921499999999996</v>
      </c>
      <c r="E153">
        <v>-0.30383300000000002</v>
      </c>
      <c r="G153">
        <v>-6.4441899999999999</v>
      </c>
      <c r="H153">
        <v>-0.31070799999999998</v>
      </c>
    </row>
    <row r="154" spans="1:8">
      <c r="A154">
        <v>-1.07236</v>
      </c>
      <c r="B154">
        <v>-0.40018799999999999</v>
      </c>
      <c r="D154">
        <f>-4.87582</f>
        <v>-4.87582</v>
      </c>
      <c r="E154">
        <v>-0.403833</v>
      </c>
      <c r="G154">
        <v>-6.7796500000000002</v>
      </c>
      <c r="H154">
        <v>-0.41070800000000002</v>
      </c>
    </row>
    <row r="155" spans="1:8">
      <c r="A155">
        <v>-1.1780999999999999</v>
      </c>
      <c r="B155">
        <v>-0.50018799999999997</v>
      </c>
      <c r="D155">
        <f>-5.25033</f>
        <v>-5.2503299999999999</v>
      </c>
      <c r="E155">
        <v>-0.50383299999999998</v>
      </c>
      <c r="G155">
        <v>-7.1136100000000004</v>
      </c>
      <c r="H155">
        <v>-0.51070800000000005</v>
      </c>
    </row>
    <row r="156" spans="1:8">
      <c r="A156">
        <v>-1.2750699999999999</v>
      </c>
      <c r="B156">
        <v>-0.60018800000000005</v>
      </c>
      <c r="D156">
        <f>-5.61559</f>
        <v>-5.6155900000000001</v>
      </c>
      <c r="E156">
        <v>-0.60383299999999995</v>
      </c>
      <c r="G156">
        <v>-7.4460600000000001</v>
      </c>
      <c r="H156">
        <v>-0.61070800000000003</v>
      </c>
    </row>
    <row r="157" spans="1:8">
      <c r="A157">
        <v>-1.3669500000000001</v>
      </c>
      <c r="B157">
        <v>-0.70018800000000003</v>
      </c>
      <c r="D157">
        <f>-5.97086</f>
        <v>-5.9708600000000001</v>
      </c>
      <c r="E157">
        <v>-0.70383300000000004</v>
      </c>
      <c r="G157">
        <v>-7.77698</v>
      </c>
      <c r="H157">
        <v>-0.71070800000000001</v>
      </c>
    </row>
    <row r="158" spans="1:8">
      <c r="A158">
        <v>-1.4553</v>
      </c>
      <c r="B158">
        <v>-0.80018800000000001</v>
      </c>
      <c r="D158">
        <f>-6.31693</f>
        <v>-6.3169300000000002</v>
      </c>
      <c r="E158">
        <v>-0.80383300000000002</v>
      </c>
      <c r="G158">
        <v>-8.1063500000000008</v>
      </c>
      <c r="H158">
        <v>-0.81070799999999998</v>
      </c>
    </row>
    <row r="159" spans="1:8">
      <c r="A159">
        <v>-1.54027</v>
      </c>
      <c r="B159">
        <v>-0.90018799999999999</v>
      </c>
      <c r="D159">
        <f>-6.6522</f>
        <v>-6.6521999999999997</v>
      </c>
      <c r="E159">
        <v>-0.903833</v>
      </c>
      <c r="G159">
        <v>-8.4333799999999997</v>
      </c>
      <c r="H159">
        <v>-0.91070799999999996</v>
      </c>
    </row>
    <row r="160" spans="1:8">
      <c r="A160">
        <v>-1.62314</v>
      </c>
      <c r="B160">
        <v>-1.0001899999999999</v>
      </c>
      <c r="D160">
        <f>-6.97728</f>
        <v>-6.9772800000000004</v>
      </c>
      <c r="E160">
        <v>-1.00383</v>
      </c>
      <c r="G160">
        <v>-8.7576199999999993</v>
      </c>
      <c r="H160">
        <v>-1.01071</v>
      </c>
    </row>
    <row r="161" spans="1:8">
      <c r="A161">
        <v>-1.7040299999999999</v>
      </c>
      <c r="B161">
        <v>-1.10019</v>
      </c>
      <c r="D161">
        <f>-7.29198</f>
        <v>-7.2919799999999997</v>
      </c>
      <c r="E161">
        <v>-1.1038300000000001</v>
      </c>
      <c r="G161">
        <v>-9.0795200000000005</v>
      </c>
      <c r="H161">
        <v>-1.1107100000000001</v>
      </c>
    </row>
    <row r="162" spans="1:8">
      <c r="A162">
        <v>-1.7835300000000001</v>
      </c>
      <c r="B162">
        <v>-1.2001900000000001</v>
      </c>
      <c r="D162">
        <f>-7.59917</f>
        <v>-7.59917</v>
      </c>
      <c r="E162">
        <v>-1.20383</v>
      </c>
      <c r="G162">
        <v>-9.3985599999999998</v>
      </c>
      <c r="H162">
        <v>-1.21071</v>
      </c>
    </row>
    <row r="163" spans="1:8">
      <c r="A163">
        <v>-1.8617900000000001</v>
      </c>
      <c r="B163">
        <v>-1.30019</v>
      </c>
      <c r="D163">
        <f>-7.89733</f>
        <v>-7.8973300000000002</v>
      </c>
      <c r="E163">
        <v>-1.30383</v>
      </c>
      <c r="G163">
        <v>-9.7130899999999993</v>
      </c>
      <c r="H163">
        <v>-1.31071</v>
      </c>
    </row>
    <row r="164" spans="1:8">
      <c r="A164">
        <v>-1.9390400000000001</v>
      </c>
      <c r="B164">
        <v>-1.40019</v>
      </c>
      <c r="D164">
        <f>-8.18298</f>
        <v>-8.1829800000000006</v>
      </c>
      <c r="E164">
        <v>-1.4038299999999999</v>
      </c>
      <c r="G164">
        <v>-10.0206</v>
      </c>
      <c r="H164">
        <v>-1.4107099999999999</v>
      </c>
    </row>
    <row r="165" spans="1:8">
      <c r="A165">
        <v>-2.0157099999999999</v>
      </c>
      <c r="B165">
        <v>-1.5001899999999999</v>
      </c>
      <c r="D165">
        <f>-8.45686</f>
        <v>-8.4568600000000007</v>
      </c>
      <c r="E165">
        <v>-1.50383</v>
      </c>
      <c r="G165">
        <v>-10.3245</v>
      </c>
      <c r="H165">
        <v>-1.51071</v>
      </c>
    </row>
    <row r="166" spans="1:8">
      <c r="A166">
        <v>-2.0917599999999998</v>
      </c>
      <c r="B166">
        <v>-1.60019</v>
      </c>
      <c r="D166">
        <f>-8.72237</f>
        <v>-8.7223699999999997</v>
      </c>
      <c r="E166">
        <v>-1.6038300000000001</v>
      </c>
      <c r="G166">
        <v>-10.621600000000001</v>
      </c>
      <c r="H166">
        <v>-1.6107100000000001</v>
      </c>
    </row>
    <row r="167" spans="1:8">
      <c r="A167">
        <v>-2.1673300000000002</v>
      </c>
      <c r="B167">
        <v>-1.7001900000000001</v>
      </c>
      <c r="D167">
        <f>-8.98187</f>
        <v>-8.9818700000000007</v>
      </c>
      <c r="E167">
        <v>-1.70383</v>
      </c>
      <c r="G167">
        <v>-10.9148</v>
      </c>
      <c r="H167">
        <v>-1.71071</v>
      </c>
    </row>
    <row r="168" spans="1:8">
      <c r="A168">
        <v>-2.24241</v>
      </c>
      <c r="B168">
        <v>-1.80019</v>
      </c>
      <c r="D168">
        <f>-9.23082</f>
        <v>-9.2308199999999996</v>
      </c>
      <c r="E168">
        <v>-1.80383</v>
      </c>
      <c r="G168">
        <v>-11.201499999999999</v>
      </c>
      <c r="H168">
        <v>-1.81071</v>
      </c>
    </row>
    <row r="169" spans="1:8">
      <c r="A169">
        <v>-2.31704</v>
      </c>
      <c r="B169">
        <v>-1.90019</v>
      </c>
      <c r="D169">
        <f>-9.47096</f>
        <v>-9.4709599999999998</v>
      </c>
      <c r="E169">
        <v>-1.9038299999999999</v>
      </c>
      <c r="G169">
        <v>-11.4824</v>
      </c>
      <c r="H169">
        <v>-1.9107099999999999</v>
      </c>
    </row>
    <row r="170" spans="1:8">
      <c r="A170">
        <v>-2.39107</v>
      </c>
      <c r="B170">
        <v>-2.0001899999999999</v>
      </c>
      <c r="D170">
        <f>-9.70498</f>
        <v>-9.7049800000000008</v>
      </c>
      <c r="E170">
        <v>-2.0038299999999998</v>
      </c>
      <c r="G170">
        <v>-11.7591</v>
      </c>
      <c r="H170">
        <v>-2.01071</v>
      </c>
    </row>
    <row r="171" spans="1:8">
      <c r="A171">
        <v>-2.4648099999999999</v>
      </c>
      <c r="B171">
        <v>-2.10019</v>
      </c>
      <c r="D171">
        <f>-9.92855</f>
        <v>-9.9285499999999995</v>
      </c>
      <c r="E171">
        <v>-2.1038299999999999</v>
      </c>
      <c r="G171">
        <v>-12.03</v>
      </c>
      <c r="H171">
        <v>-2.1107100000000001</v>
      </c>
    </row>
    <row r="172" spans="1:8">
      <c r="A172">
        <v>-2.5382099999999999</v>
      </c>
      <c r="B172">
        <v>-2.2001900000000001</v>
      </c>
      <c r="D172">
        <f>-10.1443</f>
        <v>-10.144299999999999</v>
      </c>
      <c r="E172">
        <v>-2.20383</v>
      </c>
      <c r="G172">
        <v>-12.295999999999999</v>
      </c>
      <c r="H172">
        <v>-2.2107100000000002</v>
      </c>
    </row>
    <row r="173" spans="1:8">
      <c r="A173">
        <v>-2.6112799999999998</v>
      </c>
      <c r="B173">
        <v>-2.3001900000000002</v>
      </c>
      <c r="D173">
        <f>-10.3571</f>
        <v>-10.357100000000001</v>
      </c>
      <c r="E173">
        <v>-2.30383</v>
      </c>
      <c r="G173">
        <v>-12.5579</v>
      </c>
      <c r="H173">
        <v>-2.3107099999999998</v>
      </c>
    </row>
    <row r="174" spans="1:8">
      <c r="A174">
        <v>-2.68398</v>
      </c>
      <c r="B174">
        <v>-2.4001899999999998</v>
      </c>
      <c r="D174">
        <f>-10.5617</f>
        <v>-10.5617</v>
      </c>
      <c r="E174">
        <v>-2.4038300000000001</v>
      </c>
      <c r="G174">
        <v>-12.8133</v>
      </c>
      <c r="H174">
        <v>-2.4107099999999999</v>
      </c>
    </row>
    <row r="175" spans="1:8">
      <c r="A175">
        <v>-2.7563499999999999</v>
      </c>
      <c r="B175">
        <v>-2.5001899999999999</v>
      </c>
      <c r="D175">
        <f>-10.7589</f>
        <v>-10.758900000000001</v>
      </c>
      <c r="E175">
        <v>-2.5038299999999998</v>
      </c>
      <c r="G175">
        <v>-13.0625</v>
      </c>
      <c r="H175">
        <v>-2.51071</v>
      </c>
    </row>
    <row r="176" spans="1:8">
      <c r="A176">
        <v>-2.8285100000000001</v>
      </c>
      <c r="B176">
        <v>-2.60019</v>
      </c>
      <c r="D176">
        <f>-10.9487</f>
        <v>-10.948700000000001</v>
      </c>
      <c r="E176">
        <v>-2.6038299999999999</v>
      </c>
      <c r="G176">
        <v>-13.3086</v>
      </c>
      <c r="H176">
        <v>-2.6107100000000001</v>
      </c>
    </row>
    <row r="177" spans="1:8">
      <c r="A177">
        <v>-2.9004400000000001</v>
      </c>
      <c r="B177">
        <v>-2.7001900000000001</v>
      </c>
      <c r="D177">
        <f>-11.1354</f>
        <v>-11.135400000000001</v>
      </c>
      <c r="E177">
        <v>-2.70383</v>
      </c>
      <c r="G177">
        <v>-13.549300000000001</v>
      </c>
      <c r="H177">
        <v>-2.7107100000000002</v>
      </c>
    </row>
    <row r="178" spans="1:8">
      <c r="A178">
        <v>-2.9721099999999998</v>
      </c>
      <c r="B178">
        <v>-2.8001900000000002</v>
      </c>
      <c r="D178">
        <f>-11.3166</f>
        <v>-11.316599999999999</v>
      </c>
      <c r="E178">
        <v>-2.80383</v>
      </c>
      <c r="G178">
        <v>-13.7844</v>
      </c>
      <c r="H178">
        <v>-2.8107099999999998</v>
      </c>
    </row>
    <row r="179" spans="1:8">
      <c r="A179">
        <v>-3.04359</v>
      </c>
      <c r="B179">
        <v>-2.9001899999999998</v>
      </c>
      <c r="D179">
        <f>-11.4925</f>
        <v>-11.4925</v>
      </c>
      <c r="E179">
        <v>-2.9038300000000001</v>
      </c>
      <c r="G179">
        <v>-14.015599999999999</v>
      </c>
      <c r="H179">
        <v>-2.9107099999999999</v>
      </c>
    </row>
    <row r="180" spans="1:8">
      <c r="A180">
        <v>-3.1149399999999998</v>
      </c>
      <c r="B180">
        <v>-3.0001899999999999</v>
      </c>
      <c r="D180">
        <f>-11.6624</f>
        <v>-11.6624</v>
      </c>
      <c r="E180">
        <v>-3.0038299999999998</v>
      </c>
      <c r="G180">
        <v>-14.2431</v>
      </c>
      <c r="H180">
        <v>-3.01071</v>
      </c>
    </row>
    <row r="181" spans="1:8">
      <c r="A181">
        <v>-3.18614</v>
      </c>
      <c r="B181">
        <v>-3.10019</v>
      </c>
      <c r="D181">
        <f>-11.8286</f>
        <v>-11.8286</v>
      </c>
      <c r="E181">
        <v>-3.1038299999999999</v>
      </c>
      <c r="G181">
        <v>-14.464700000000001</v>
      </c>
      <c r="H181">
        <v>-3.1107100000000001</v>
      </c>
    </row>
    <row r="182" spans="1:8">
      <c r="A182">
        <v>-3.2572299999999998</v>
      </c>
      <c r="B182">
        <v>-3.2001900000000001</v>
      </c>
      <c r="D182">
        <f>-11.9913</f>
        <v>-11.991300000000001</v>
      </c>
      <c r="E182">
        <v>-3.20383</v>
      </c>
      <c r="G182">
        <v>-14.681800000000001</v>
      </c>
      <c r="H182">
        <v>-3.2107100000000002</v>
      </c>
    </row>
    <row r="183" spans="1:8">
      <c r="A183">
        <v>-3.3281800000000001</v>
      </c>
      <c r="B183">
        <v>-3.3001900000000002</v>
      </c>
      <c r="D183">
        <f>-12.1512</f>
        <v>-12.151199999999999</v>
      </c>
      <c r="E183">
        <v>-3.30383</v>
      </c>
      <c r="G183">
        <v>-14.8939</v>
      </c>
      <c r="H183">
        <v>-3.3107099999999998</v>
      </c>
    </row>
    <row r="184" spans="1:8">
      <c r="A184">
        <v>-3.3990200000000002</v>
      </c>
      <c r="B184">
        <v>-3.4001899999999998</v>
      </c>
      <c r="D184">
        <f>-12.3057</f>
        <v>-12.3057</v>
      </c>
      <c r="E184">
        <v>-3.4038300000000001</v>
      </c>
      <c r="G184">
        <v>-15.102499999999999</v>
      </c>
      <c r="H184">
        <v>-3.4107099999999999</v>
      </c>
    </row>
    <row r="185" spans="1:8">
      <c r="A185">
        <v>-3.4697</v>
      </c>
      <c r="B185">
        <v>-3.5001899999999999</v>
      </c>
      <c r="D185">
        <f>-12.456</f>
        <v>-12.456</v>
      </c>
      <c r="E185">
        <v>-3.5038299999999998</v>
      </c>
      <c r="G185">
        <v>-15.307499999999999</v>
      </c>
      <c r="H185">
        <v>-3.51071</v>
      </c>
    </row>
    <row r="186" spans="1:8">
      <c r="A186">
        <v>-3.5402800000000001</v>
      </c>
      <c r="B186">
        <v>-3.60019</v>
      </c>
      <c r="D186">
        <f>-12.6025</f>
        <v>-12.602499999999999</v>
      </c>
      <c r="E186">
        <v>-3.6038299999999999</v>
      </c>
      <c r="G186">
        <v>-15.508599999999999</v>
      </c>
      <c r="H186">
        <v>-3.6107100000000001</v>
      </c>
    </row>
    <row r="187" spans="1:8">
      <c r="A187">
        <v>-3.6108099999999999</v>
      </c>
      <c r="B187">
        <v>-3.7001900000000001</v>
      </c>
      <c r="D187">
        <f>-12.7465</f>
        <v>-12.746499999999999</v>
      </c>
      <c r="E187">
        <v>-3.70383</v>
      </c>
      <c r="G187">
        <v>-15.7052</v>
      </c>
      <c r="H187">
        <v>-3.7107100000000002</v>
      </c>
    </row>
    <row r="188" spans="1:8">
      <c r="A188">
        <v>-3.6812800000000001</v>
      </c>
      <c r="B188">
        <v>-3.8001900000000002</v>
      </c>
      <c r="D188">
        <f>-12.8869</f>
        <v>-12.886900000000001</v>
      </c>
      <c r="E188">
        <v>-3.80383</v>
      </c>
      <c r="G188">
        <v>-15.8964</v>
      </c>
      <c r="H188">
        <v>-3.8107099999999998</v>
      </c>
    </row>
    <row r="189" spans="1:8">
      <c r="A189">
        <v>-3.7517</v>
      </c>
      <c r="B189">
        <v>-3.9001899999999998</v>
      </c>
      <c r="D189">
        <f>-13.0246</f>
        <v>-13.0246</v>
      </c>
      <c r="E189">
        <v>-3.9038300000000001</v>
      </c>
      <c r="G189">
        <v>-16.0825</v>
      </c>
      <c r="H189">
        <v>-3.9107099999999999</v>
      </c>
    </row>
    <row r="190" spans="1:8">
      <c r="A190">
        <v>-3.8220399999999999</v>
      </c>
      <c r="B190">
        <v>-4.0001899999999999</v>
      </c>
      <c r="D190">
        <f>-13.1584</f>
        <v>-13.1584</v>
      </c>
      <c r="E190">
        <v>-4.0038299999999998</v>
      </c>
      <c r="G190">
        <v>-16.264500000000002</v>
      </c>
      <c r="H190">
        <v>-4.0107100000000004</v>
      </c>
    </row>
    <row r="191" spans="1:8">
      <c r="A191">
        <v>-3.8923399999999999</v>
      </c>
      <c r="B191">
        <v>-4.1001899999999996</v>
      </c>
      <c r="D191">
        <f>-13.2902</f>
        <v>-13.2902</v>
      </c>
      <c r="E191">
        <v>-4.1038300000000003</v>
      </c>
      <c r="G191">
        <v>-16.441800000000001</v>
      </c>
      <c r="H191">
        <v>-4.1107100000000001</v>
      </c>
    </row>
    <row r="192" spans="1:8">
      <c r="A192">
        <v>-3.9625900000000001</v>
      </c>
      <c r="B192">
        <v>-4.2001900000000001</v>
      </c>
      <c r="D192">
        <f>-13.419</f>
        <v>-13.419</v>
      </c>
      <c r="E192">
        <v>-4.20383</v>
      </c>
      <c r="G192">
        <v>-16.613099999999999</v>
      </c>
      <c r="H192">
        <v>-4.2107099999999997</v>
      </c>
    </row>
    <row r="193" spans="1:8">
      <c r="A193">
        <v>-4.0327900000000003</v>
      </c>
      <c r="B193">
        <v>-4.3001899999999997</v>
      </c>
      <c r="D193">
        <f>-13.5461</f>
        <v>-13.546099999999999</v>
      </c>
      <c r="E193">
        <v>-4.3038299999999996</v>
      </c>
      <c r="G193">
        <v>-16.7803</v>
      </c>
      <c r="H193">
        <v>-4.3107100000000003</v>
      </c>
    </row>
    <row r="194" spans="1:8">
      <c r="A194">
        <v>-4.1029299999999997</v>
      </c>
      <c r="B194">
        <v>-4.4001900000000003</v>
      </c>
      <c r="D194">
        <f>-13.6718</f>
        <v>-13.671799999999999</v>
      </c>
      <c r="E194">
        <v>-4.4038300000000001</v>
      </c>
      <c r="G194">
        <v>-16.943999999999999</v>
      </c>
      <c r="H194">
        <v>-4.4107099999999999</v>
      </c>
    </row>
    <row r="195" spans="1:8">
      <c r="A195">
        <v>-4.1730200000000002</v>
      </c>
      <c r="B195">
        <v>-4.5001899999999999</v>
      </c>
      <c r="D195">
        <f>-13.7959</f>
        <v>-13.7959</v>
      </c>
      <c r="E195">
        <v>-4.5038299999999998</v>
      </c>
      <c r="G195">
        <v>-17.104800000000001</v>
      </c>
      <c r="H195">
        <v>-4.5107100000000004</v>
      </c>
    </row>
    <row r="196" spans="1:8">
      <c r="A196">
        <v>-4.2430500000000002</v>
      </c>
      <c r="B196">
        <v>-4.6001899999999996</v>
      </c>
      <c r="D196">
        <f>-13.9178</f>
        <v>-13.9178</v>
      </c>
      <c r="E196">
        <v>-4.6038300000000003</v>
      </c>
      <c r="G196">
        <v>-17.2624</v>
      </c>
      <c r="H196">
        <v>-4.6107100000000001</v>
      </c>
    </row>
    <row r="197" spans="1:8">
      <c r="A197">
        <v>-4.3130300000000004</v>
      </c>
      <c r="B197">
        <v>-4.7001900000000001</v>
      </c>
      <c r="D197">
        <f>-14.0372</f>
        <v>-14.0372</v>
      </c>
      <c r="E197">
        <v>-4.70383</v>
      </c>
      <c r="G197">
        <v>-17.415400000000002</v>
      </c>
      <c r="H197">
        <v>-4.7107099999999997</v>
      </c>
    </row>
    <row r="198" spans="1:8">
      <c r="A198">
        <v>-4.3829500000000001</v>
      </c>
      <c r="B198">
        <v>-4.8001899999999997</v>
      </c>
      <c r="D198">
        <f>-14.1543</f>
        <v>-14.154299999999999</v>
      </c>
      <c r="E198">
        <v>-4.8038299999999996</v>
      </c>
      <c r="G198">
        <v>-17.560500000000001</v>
      </c>
      <c r="H198">
        <v>-4.8107100000000003</v>
      </c>
    </row>
    <row r="199" spans="1:8">
      <c r="A199">
        <v>-4.4528299999999996</v>
      </c>
      <c r="B199">
        <v>-4.9001900000000003</v>
      </c>
      <c r="D199">
        <f>-14.2703</f>
        <v>-14.270300000000001</v>
      </c>
      <c r="E199">
        <v>-4.9038300000000001</v>
      </c>
      <c r="G199">
        <v>-17.698599999999999</v>
      </c>
      <c r="H199">
        <v>-4.9107099999999999</v>
      </c>
    </row>
    <row r="200" spans="1:8">
      <c r="A200">
        <v>-4.5226699999999997</v>
      </c>
      <c r="B200">
        <v>-5.0001899999999999</v>
      </c>
      <c r="D200">
        <f>-14.384</f>
        <v>-14.384</v>
      </c>
      <c r="E200">
        <v>-5.0038299999999998</v>
      </c>
      <c r="G200">
        <v>-17.831199999999999</v>
      </c>
      <c r="H200">
        <v>-5.0107100000000004</v>
      </c>
    </row>
    <row r="201" spans="1:8">
      <c r="A201">
        <v>-4.41629</v>
      </c>
      <c r="B201">
        <v>-4.8501899999999996</v>
      </c>
      <c r="D201">
        <f>-14.1791</f>
        <v>-14.1791</v>
      </c>
      <c r="E201">
        <v>-4.8538300000000003</v>
      </c>
      <c r="G201">
        <v>-17.458600000000001</v>
      </c>
      <c r="H201">
        <v>-4.8607100000000001</v>
      </c>
    </row>
    <row r="202" spans="1:8">
      <c r="A202">
        <v>-4.3098000000000001</v>
      </c>
      <c r="B202">
        <v>-4.7001900000000001</v>
      </c>
      <c r="D202">
        <f>-13.9696</f>
        <v>-13.9696</v>
      </c>
      <c r="E202">
        <v>-4.70383</v>
      </c>
      <c r="G202">
        <v>-17.076699999999999</v>
      </c>
      <c r="H202">
        <v>-4.7107099999999997</v>
      </c>
    </row>
    <row r="203" spans="1:8">
      <c r="A203">
        <v>-4.2031900000000002</v>
      </c>
      <c r="B203">
        <v>-4.5501899999999997</v>
      </c>
      <c r="D203">
        <f>-13.7532</f>
        <v>-13.7532</v>
      </c>
      <c r="E203">
        <v>-4.5538299999999996</v>
      </c>
      <c r="G203">
        <v>-16.686199999999999</v>
      </c>
      <c r="H203">
        <v>-4.5607100000000003</v>
      </c>
    </row>
    <row r="204" spans="1:8">
      <c r="A204">
        <v>-4.0965100000000003</v>
      </c>
      <c r="B204">
        <v>-4.4001900000000003</v>
      </c>
      <c r="D204">
        <f>-13.5311</f>
        <v>-13.5311</v>
      </c>
      <c r="E204">
        <v>-4.4038300000000001</v>
      </c>
      <c r="G204">
        <v>-16.291699999999999</v>
      </c>
      <c r="H204">
        <v>-4.4107099999999999</v>
      </c>
    </row>
    <row r="205" spans="1:8">
      <c r="A205">
        <v>-3.9897100000000001</v>
      </c>
      <c r="B205">
        <v>-4.2501899999999999</v>
      </c>
      <c r="D205">
        <f>-13.3053</f>
        <v>-13.305300000000001</v>
      </c>
      <c r="E205">
        <v>-4.2538299999999998</v>
      </c>
      <c r="G205">
        <v>-15.888400000000001</v>
      </c>
      <c r="H205">
        <v>-4.2607100000000004</v>
      </c>
    </row>
    <row r="206" spans="1:8">
      <c r="A206">
        <v>-3.8828499999999999</v>
      </c>
      <c r="B206">
        <v>-4.1001899999999996</v>
      </c>
      <c r="D206">
        <f>-13.0729</f>
        <v>-13.072900000000001</v>
      </c>
      <c r="E206">
        <v>-4.1038300000000003</v>
      </c>
      <c r="G206">
        <v>-15.470700000000001</v>
      </c>
      <c r="H206">
        <v>-4.1107100000000001</v>
      </c>
    </row>
    <row r="207" spans="1:8">
      <c r="A207">
        <v>-3.7759</v>
      </c>
      <c r="B207">
        <v>-3.9501900000000001</v>
      </c>
      <c r="D207">
        <f>-12.8328</f>
        <v>-12.832800000000001</v>
      </c>
      <c r="E207">
        <v>-3.95383</v>
      </c>
      <c r="G207">
        <v>-15.0458</v>
      </c>
      <c r="H207">
        <v>-3.9607100000000002</v>
      </c>
    </row>
    <row r="208" spans="1:8">
      <c r="A208">
        <v>-3.6688499999999999</v>
      </c>
      <c r="B208">
        <v>-3.8001900000000002</v>
      </c>
      <c r="D208">
        <f>-12.5844</f>
        <v>-12.5844</v>
      </c>
      <c r="E208">
        <v>-3.80383</v>
      </c>
      <c r="G208">
        <v>-14.6073</v>
      </c>
      <c r="H208">
        <v>-3.8107099999999998</v>
      </c>
    </row>
    <row r="209" spans="1:8">
      <c r="A209">
        <v>-3.5617100000000002</v>
      </c>
      <c r="B209">
        <v>-3.6501899999999998</v>
      </c>
      <c r="D209">
        <f>-12.3274</f>
        <v>-12.327400000000001</v>
      </c>
      <c r="E209">
        <v>-3.6538300000000001</v>
      </c>
      <c r="G209">
        <v>-14.158799999999999</v>
      </c>
      <c r="H209">
        <v>-3.6607099999999999</v>
      </c>
    </row>
    <row r="210" spans="1:8">
      <c r="A210">
        <v>-3.4544100000000002</v>
      </c>
      <c r="B210">
        <v>-3.5001899999999999</v>
      </c>
      <c r="D210">
        <f>-12.0602</f>
        <v>-12.0602</v>
      </c>
      <c r="E210">
        <v>-3.5038299999999998</v>
      </c>
      <c r="G210">
        <v>-13.7057</v>
      </c>
      <c r="H210">
        <v>-3.51071</v>
      </c>
    </row>
    <row r="211" spans="1:8">
      <c r="A211">
        <v>-3.34687</v>
      </c>
      <c r="B211">
        <v>-3.35019</v>
      </c>
      <c r="D211">
        <f>-11.7808</f>
        <v>-11.780799999999999</v>
      </c>
      <c r="E211">
        <v>-3.3538299999999999</v>
      </c>
      <c r="G211">
        <v>-13.2448</v>
      </c>
      <c r="H211">
        <v>-3.3607100000000001</v>
      </c>
    </row>
    <row r="212" spans="1:8">
      <c r="A212">
        <v>-3.2390500000000002</v>
      </c>
      <c r="B212">
        <v>-3.2001900000000001</v>
      </c>
      <c r="D212">
        <f>-11.493</f>
        <v>-11.493</v>
      </c>
      <c r="E212">
        <v>-3.20383</v>
      </c>
      <c r="G212">
        <v>-12.7728</v>
      </c>
      <c r="H212">
        <v>-3.2107100000000002</v>
      </c>
    </row>
    <row r="213" spans="1:8">
      <c r="A213">
        <v>-3.1309800000000001</v>
      </c>
      <c r="B213">
        <v>-3.0501900000000002</v>
      </c>
      <c r="D213">
        <f>-11.1941</f>
        <v>-11.194100000000001</v>
      </c>
      <c r="E213">
        <v>-3.05383</v>
      </c>
      <c r="G213">
        <v>-12.292999999999999</v>
      </c>
      <c r="H213">
        <v>-3.0607099999999998</v>
      </c>
    </row>
    <row r="214" spans="1:8">
      <c r="A214">
        <v>-3.0226799999999998</v>
      </c>
      <c r="B214">
        <v>-2.9001899999999998</v>
      </c>
      <c r="D214">
        <f>-10.8821</f>
        <v>-10.882099999999999</v>
      </c>
      <c r="E214">
        <v>-2.9038300000000001</v>
      </c>
      <c r="G214">
        <v>-11.8011</v>
      </c>
      <c r="H214">
        <v>-2.9107099999999999</v>
      </c>
    </row>
    <row r="215" spans="1:8">
      <c r="A215">
        <v>-2.9139699999999999</v>
      </c>
      <c r="B215">
        <v>-2.7501899999999999</v>
      </c>
      <c r="D215">
        <f>-10.5559</f>
        <v>-10.555899999999999</v>
      </c>
      <c r="E215">
        <v>-2.7538299999999998</v>
      </c>
      <c r="G215">
        <v>-11.2997</v>
      </c>
      <c r="H215">
        <v>-2.76071</v>
      </c>
    </row>
    <row r="216" spans="1:8">
      <c r="A216">
        <v>-2.8047399999999998</v>
      </c>
      <c r="B216">
        <v>-2.60019</v>
      </c>
      <c r="D216">
        <f>-10.2181</f>
        <v>-10.2181</v>
      </c>
      <c r="E216">
        <v>-2.6038299999999999</v>
      </c>
      <c r="G216">
        <v>-10.788500000000001</v>
      </c>
      <c r="H216">
        <v>-2.6107100000000001</v>
      </c>
    </row>
    <row r="217" spans="1:8">
      <c r="A217">
        <v>-2.6949200000000002</v>
      </c>
      <c r="B217">
        <v>-2.4501900000000001</v>
      </c>
      <c r="D217">
        <f>-9.85803</f>
        <v>-9.8580299999999994</v>
      </c>
      <c r="E217">
        <v>-2.45383</v>
      </c>
      <c r="G217">
        <v>-10.267099999999999</v>
      </c>
      <c r="H217">
        <v>-2.4607100000000002</v>
      </c>
    </row>
    <row r="218" spans="1:8">
      <c r="A218">
        <v>-2.5844499999999999</v>
      </c>
      <c r="B218">
        <v>-2.3001900000000002</v>
      </c>
      <c r="D218">
        <f>-9.4869</f>
        <v>-9.4869000000000003</v>
      </c>
      <c r="E218">
        <v>-2.30383</v>
      </c>
      <c r="G218">
        <v>-9.73902</v>
      </c>
      <c r="H218">
        <v>-2.3107099999999998</v>
      </c>
    </row>
    <row r="219" spans="1:8">
      <c r="A219">
        <v>-2.4733100000000001</v>
      </c>
      <c r="B219">
        <v>-2.1501899999999998</v>
      </c>
      <c r="D219">
        <f>-9.09517</f>
        <v>-9.0951699999999995</v>
      </c>
      <c r="E219">
        <v>-2.1538300000000001</v>
      </c>
      <c r="G219">
        <v>-9.2012699999999992</v>
      </c>
      <c r="H219">
        <v>-2.1607099999999999</v>
      </c>
    </row>
    <row r="220" spans="1:8">
      <c r="A220">
        <v>-2.3612899999999999</v>
      </c>
      <c r="B220">
        <v>-2.0001899999999999</v>
      </c>
      <c r="D220">
        <f>-8.68486</f>
        <v>-8.6848600000000005</v>
      </c>
      <c r="E220">
        <v>-2.0038299999999998</v>
      </c>
      <c r="G220">
        <v>-8.6552100000000003</v>
      </c>
      <c r="H220">
        <v>-2.01071</v>
      </c>
    </row>
    <row r="221" spans="1:8">
      <c r="A221">
        <v>-2.2481599999999999</v>
      </c>
      <c r="B221">
        <v>-1.85019</v>
      </c>
      <c r="D221">
        <f>-8.25368</f>
        <v>-8.2536799999999992</v>
      </c>
      <c r="E221">
        <v>-1.8538300000000001</v>
      </c>
      <c r="G221">
        <v>-8.0998999999999999</v>
      </c>
      <c r="H221">
        <v>-1.8607100000000001</v>
      </c>
    </row>
    <row r="222" spans="1:8">
      <c r="A222">
        <v>-2.1341100000000002</v>
      </c>
      <c r="B222">
        <v>-1.7001900000000001</v>
      </c>
      <c r="D222">
        <f>-7.8051</f>
        <v>-7.8051000000000004</v>
      </c>
      <c r="E222">
        <v>-1.70383</v>
      </c>
      <c r="G222">
        <v>-7.5337500000000004</v>
      </c>
      <c r="H222">
        <v>-1.71071</v>
      </c>
    </row>
    <row r="223" spans="1:8">
      <c r="A223">
        <v>-2.0189699999999999</v>
      </c>
      <c r="B223">
        <v>-1.55019</v>
      </c>
      <c r="D223">
        <f>-7.33384</f>
        <v>-7.3338400000000004</v>
      </c>
      <c r="E223">
        <v>-1.55383</v>
      </c>
      <c r="G223">
        <v>-6.9598199999999997</v>
      </c>
      <c r="H223">
        <v>-1.56071</v>
      </c>
    </row>
    <row r="224" spans="1:8">
      <c r="A224">
        <v>-1.90255</v>
      </c>
      <c r="B224">
        <v>-1.40019</v>
      </c>
      <c r="D224">
        <f>-6.83819</f>
        <v>-6.83819</v>
      </c>
      <c r="E224">
        <v>-1.4038299999999999</v>
      </c>
      <c r="G224">
        <v>-6.3749200000000004</v>
      </c>
      <c r="H224">
        <v>-1.4107099999999999</v>
      </c>
    </row>
    <row r="225" spans="1:8">
      <c r="A225">
        <v>-1.78396</v>
      </c>
      <c r="B225">
        <v>-1.2501899999999999</v>
      </c>
      <c r="D225">
        <f>-6.32068</f>
        <v>-6.3206800000000003</v>
      </c>
      <c r="E225">
        <v>-1.25383</v>
      </c>
      <c r="G225">
        <v>-5.7872899999999996</v>
      </c>
      <c r="H225">
        <v>-1.26071</v>
      </c>
    </row>
    <row r="226" spans="1:8">
      <c r="A226">
        <v>-1.66279</v>
      </c>
      <c r="B226">
        <v>-1.10019</v>
      </c>
      <c r="D226">
        <f>-5.78484</f>
        <v>-5.78484</v>
      </c>
      <c r="E226">
        <v>-1.1038300000000001</v>
      </c>
      <c r="G226">
        <v>-5.1977399999999996</v>
      </c>
      <c r="H226">
        <v>-1.1107100000000001</v>
      </c>
    </row>
    <row r="227" spans="1:8">
      <c r="A227">
        <v>-1.5379700000000001</v>
      </c>
      <c r="B227">
        <v>-0.95018800000000003</v>
      </c>
      <c r="D227">
        <f>-5.2269</f>
        <v>-5.2268999999999997</v>
      </c>
      <c r="E227">
        <v>-0.95383300000000004</v>
      </c>
      <c r="G227">
        <v>-4.6055599999999997</v>
      </c>
      <c r="H227">
        <v>-0.96070800000000001</v>
      </c>
    </row>
    <row r="228" spans="1:8">
      <c r="A228">
        <v>-1.40787</v>
      </c>
      <c r="B228">
        <v>-0.80018800000000001</v>
      </c>
      <c r="D228">
        <f>-4.64477</f>
        <v>-4.6447700000000003</v>
      </c>
      <c r="E228">
        <v>-0.80383300000000002</v>
      </c>
      <c r="G228">
        <v>-4.0105300000000002</v>
      </c>
      <c r="H228">
        <v>-0.81070799999999998</v>
      </c>
    </row>
    <row r="229" spans="1:8">
      <c r="A229">
        <v>-1.27033</v>
      </c>
      <c r="B229">
        <v>-0.65018799999999999</v>
      </c>
      <c r="D229">
        <f>-4.04462</f>
        <v>-4.0446200000000001</v>
      </c>
      <c r="E229">
        <v>-0.653833</v>
      </c>
      <c r="G229">
        <v>-3.4149799999999999</v>
      </c>
      <c r="H229">
        <v>-0.66070799999999996</v>
      </c>
    </row>
    <row r="230" spans="1:8">
      <c r="A230">
        <v>-1.12096</v>
      </c>
      <c r="B230">
        <v>-0.50018799999999997</v>
      </c>
      <c r="D230">
        <f>-3.42687</f>
        <v>-3.4268700000000001</v>
      </c>
      <c r="E230">
        <v>-0.50383299999999998</v>
      </c>
      <c r="G230">
        <v>-2.8194300000000001</v>
      </c>
      <c r="H230">
        <v>-0.51070800000000005</v>
      </c>
    </row>
    <row r="231" spans="1:8">
      <c r="A231">
        <v>-0.94639899999999999</v>
      </c>
      <c r="B231">
        <v>-0.350188</v>
      </c>
      <c r="D231">
        <f>-2.78975</f>
        <v>-2.7897500000000002</v>
      </c>
      <c r="E231">
        <v>-0.35383300000000001</v>
      </c>
      <c r="G231">
        <v>-2.2239300000000002</v>
      </c>
      <c r="H231">
        <v>-0.36070799999999997</v>
      </c>
    </row>
    <row r="232" spans="1:8">
      <c r="A232">
        <v>-0.69823999999999997</v>
      </c>
      <c r="B232">
        <v>-0.200188</v>
      </c>
      <c r="D232">
        <f>-2.13352</f>
        <v>-2.1335199999999999</v>
      </c>
      <c r="E232">
        <v>-0.20383299999999999</v>
      </c>
      <c r="G232">
        <v>-1.62846</v>
      </c>
      <c r="H232">
        <v>-0.21070800000000001</v>
      </c>
    </row>
    <row r="233" spans="1:8">
      <c r="A233">
        <v>-0.25470999999999999</v>
      </c>
      <c r="B233">
        <v>-5.0188099999999999E-2</v>
      </c>
      <c r="D233">
        <f>-1.45918</f>
        <v>-1.4591799999999999</v>
      </c>
      <c r="E233">
        <v>-5.3832699999999997E-2</v>
      </c>
      <c r="G233">
        <v>-1.03302</v>
      </c>
      <c r="H233">
        <v>-6.07076E-2</v>
      </c>
    </row>
    <row r="234" spans="1:8">
      <c r="A234">
        <v>0.26185999999999998</v>
      </c>
      <c r="B234">
        <v>9.9811899999999995E-2</v>
      </c>
      <c r="D234">
        <v>-0.77960499999999999</v>
      </c>
      <c r="E234">
        <v>9.6167299999999997E-2</v>
      </c>
      <c r="G234">
        <v>-0.43759900000000002</v>
      </c>
      <c r="H234">
        <v>8.9292399999999994E-2</v>
      </c>
    </row>
    <row r="235" spans="1:8">
      <c r="A235">
        <v>0.71927200000000002</v>
      </c>
      <c r="B235">
        <v>0.24981200000000001</v>
      </c>
      <c r="D235">
        <v>-9.5590900000000006E-2</v>
      </c>
      <c r="E235">
        <v>0.246167</v>
      </c>
      <c r="G235">
        <v>0.15779499999999999</v>
      </c>
      <c r="H235">
        <v>0.239292</v>
      </c>
    </row>
    <row r="236" spans="1:8">
      <c r="A236">
        <v>1.03148</v>
      </c>
      <c r="B236">
        <v>0.399812</v>
      </c>
      <c r="D236">
        <v>0.59186499999999997</v>
      </c>
      <c r="E236">
        <v>0.39616699999999999</v>
      </c>
      <c r="G236">
        <v>0.75315299999999996</v>
      </c>
      <c r="H236">
        <v>0.38929200000000003</v>
      </c>
    </row>
    <row r="237" spans="1:8">
      <c r="A237">
        <v>1.28386</v>
      </c>
      <c r="B237">
        <v>0.54981199999999997</v>
      </c>
      <c r="D237">
        <v>1.2793000000000001</v>
      </c>
      <c r="E237">
        <v>0.54616699999999996</v>
      </c>
      <c r="G237">
        <v>1.34846</v>
      </c>
      <c r="H237">
        <v>0.53929199999999999</v>
      </c>
    </row>
    <row r="238" spans="1:8">
      <c r="A238">
        <v>1.50098</v>
      </c>
      <c r="B238">
        <v>0.69981199999999999</v>
      </c>
      <c r="D238">
        <v>1.9666999999999999</v>
      </c>
      <c r="E238">
        <v>0.69616699999999998</v>
      </c>
      <c r="G238">
        <v>1.9437</v>
      </c>
      <c r="H238">
        <v>0.68929200000000002</v>
      </c>
    </row>
    <row r="239" spans="1:8">
      <c r="A239">
        <v>1.6995499999999999</v>
      </c>
      <c r="B239">
        <v>0.84981200000000001</v>
      </c>
      <c r="D239">
        <v>2.6540900000000001</v>
      </c>
      <c r="E239">
        <v>0.846167</v>
      </c>
      <c r="G239">
        <v>2.5388700000000002</v>
      </c>
      <c r="H239">
        <v>0.83929200000000004</v>
      </c>
    </row>
    <row r="240" spans="1:8">
      <c r="A240">
        <v>1.8848800000000001</v>
      </c>
      <c r="B240">
        <v>0.99981200000000003</v>
      </c>
      <c r="D240">
        <v>3.33988</v>
      </c>
      <c r="E240">
        <v>0.99616700000000002</v>
      </c>
      <c r="G240">
        <v>3.1339899999999998</v>
      </c>
      <c r="H240">
        <v>0.98929199999999995</v>
      </c>
    </row>
    <row r="241" spans="1:8">
      <c r="A241">
        <v>2.0610599999999999</v>
      </c>
      <c r="B241">
        <v>1.14981</v>
      </c>
      <c r="D241">
        <v>4.0202900000000001</v>
      </c>
      <c r="E241">
        <v>1.1461699999999999</v>
      </c>
      <c r="G241">
        <v>3.72906</v>
      </c>
      <c r="H241">
        <v>1.1392899999999999</v>
      </c>
    </row>
    <row r="242" spans="1:8">
      <c r="A242">
        <v>2.2315900000000002</v>
      </c>
      <c r="B242">
        <v>1.2998099999999999</v>
      </c>
      <c r="D242">
        <v>4.6982200000000001</v>
      </c>
      <c r="E242">
        <v>1.29617</v>
      </c>
      <c r="G242">
        <v>4.3240800000000004</v>
      </c>
      <c r="H242">
        <v>1.28929</v>
      </c>
    </row>
    <row r="243" spans="1:8">
      <c r="A243">
        <v>2.3976999999999999</v>
      </c>
      <c r="B243">
        <v>1.44981</v>
      </c>
      <c r="D243">
        <v>5.3713499999999996</v>
      </c>
      <c r="E243">
        <v>1.44617</v>
      </c>
      <c r="G243">
        <v>4.9190100000000001</v>
      </c>
      <c r="H243">
        <v>1.43929</v>
      </c>
    </row>
    <row r="244" spans="1:8">
      <c r="A244">
        <v>2.5602999999999998</v>
      </c>
      <c r="B244">
        <v>1.59981</v>
      </c>
      <c r="D244">
        <v>6.0286600000000004</v>
      </c>
      <c r="E244">
        <v>1.5961700000000001</v>
      </c>
      <c r="G244">
        <v>5.5138699999999998</v>
      </c>
      <c r="H244">
        <v>1.5892900000000001</v>
      </c>
    </row>
    <row r="245" spans="1:8">
      <c r="A245">
        <v>2.7206800000000002</v>
      </c>
      <c r="B245">
        <v>1.7498100000000001</v>
      </c>
      <c r="D245">
        <v>6.6681699999999999</v>
      </c>
      <c r="E245">
        <v>1.74617</v>
      </c>
      <c r="G245">
        <v>6.1085500000000001</v>
      </c>
      <c r="H245">
        <v>1.73929</v>
      </c>
    </row>
    <row r="246" spans="1:8">
      <c r="A246">
        <v>2.8787699999999998</v>
      </c>
      <c r="B246">
        <v>1.89981</v>
      </c>
      <c r="D246">
        <v>7.2933000000000003</v>
      </c>
      <c r="E246">
        <v>1.8961699999999999</v>
      </c>
      <c r="G246">
        <v>6.7030399999999997</v>
      </c>
      <c r="H246">
        <v>1.8892899999999999</v>
      </c>
    </row>
    <row r="247" spans="1:8">
      <c r="A247">
        <v>3.0349900000000001</v>
      </c>
      <c r="B247">
        <v>2.0498099999999999</v>
      </c>
      <c r="D247">
        <v>7.8964800000000004</v>
      </c>
      <c r="E247">
        <v>2.04617</v>
      </c>
      <c r="G247">
        <v>7.2972900000000003</v>
      </c>
      <c r="H247">
        <v>2.0392899999999998</v>
      </c>
    </row>
    <row r="248" spans="1:8">
      <c r="A248">
        <v>3.1893699999999998</v>
      </c>
      <c r="B248">
        <v>2.1998099999999998</v>
      </c>
      <c r="D248">
        <v>8.4875900000000009</v>
      </c>
      <c r="E248">
        <v>2.19617</v>
      </c>
      <c r="G248">
        <v>7.8912100000000001</v>
      </c>
      <c r="H248">
        <v>2.1892900000000002</v>
      </c>
    </row>
    <row r="249" spans="1:8">
      <c r="A249">
        <v>3.3425099999999999</v>
      </c>
      <c r="B249">
        <v>2.3498100000000002</v>
      </c>
      <c r="D249">
        <v>9.0572300000000006</v>
      </c>
      <c r="E249">
        <v>2.3461699999999999</v>
      </c>
      <c r="G249">
        <v>8.4847800000000007</v>
      </c>
      <c r="H249">
        <v>2.3392900000000001</v>
      </c>
    </row>
    <row r="250" spans="1:8">
      <c r="A250">
        <v>3.4943900000000001</v>
      </c>
      <c r="B250">
        <v>2.4998100000000001</v>
      </c>
      <c r="D250">
        <v>9.6136199999999992</v>
      </c>
      <c r="E250">
        <v>2.4961700000000002</v>
      </c>
      <c r="G250">
        <v>9.0778999999999996</v>
      </c>
      <c r="H250">
        <v>2.48929</v>
      </c>
    </row>
    <row r="251" spans="1:8">
      <c r="A251">
        <v>3.6454399999999998</v>
      </c>
      <c r="B251">
        <v>2.64981</v>
      </c>
      <c r="D251">
        <v>10.142799999999999</v>
      </c>
      <c r="E251">
        <v>2.6461700000000001</v>
      </c>
      <c r="G251">
        <v>9.6703299999999999</v>
      </c>
      <c r="H251">
        <v>2.6392899999999999</v>
      </c>
    </row>
    <row r="252" spans="1:8">
      <c r="A252">
        <v>3.7957000000000001</v>
      </c>
      <c r="B252">
        <v>2.7998099999999999</v>
      </c>
      <c r="D252">
        <v>10.6494</v>
      </c>
      <c r="E252">
        <v>2.79617</v>
      </c>
      <c r="G252">
        <v>10.2597</v>
      </c>
      <c r="H252">
        <v>2.7892899999999998</v>
      </c>
    </row>
    <row r="253" spans="1:8">
      <c r="A253">
        <v>3.9450699999999999</v>
      </c>
      <c r="B253">
        <v>2.9498099999999998</v>
      </c>
      <c r="D253">
        <v>11.1448</v>
      </c>
      <c r="E253">
        <v>2.94617</v>
      </c>
      <c r="G253">
        <v>10.8452</v>
      </c>
      <c r="H253">
        <v>2.9392900000000002</v>
      </c>
    </row>
    <row r="254" spans="1:8">
      <c r="A254">
        <v>4.0939699999999997</v>
      </c>
      <c r="B254">
        <v>3.0998100000000002</v>
      </c>
      <c r="D254">
        <v>11.6136</v>
      </c>
      <c r="E254">
        <v>3.0961699999999999</v>
      </c>
      <c r="G254">
        <v>11.428000000000001</v>
      </c>
      <c r="H254">
        <v>3.0892900000000001</v>
      </c>
    </row>
    <row r="255" spans="1:8">
      <c r="A255">
        <v>4.2424999999999997</v>
      </c>
      <c r="B255">
        <v>3.2498100000000001</v>
      </c>
      <c r="D255">
        <v>12.0647</v>
      </c>
      <c r="E255">
        <v>3.2461700000000002</v>
      </c>
      <c r="G255">
        <v>12.007899999999999</v>
      </c>
      <c r="H255">
        <v>3.23929</v>
      </c>
    </row>
    <row r="256" spans="1:8">
      <c r="A256">
        <v>4.3905700000000003</v>
      </c>
      <c r="B256">
        <v>3.39981</v>
      </c>
      <c r="D256">
        <v>12.507300000000001</v>
      </c>
      <c r="E256">
        <v>3.3961700000000001</v>
      </c>
      <c r="G256">
        <v>12.582700000000001</v>
      </c>
      <c r="H256">
        <v>3.3892899999999999</v>
      </c>
    </row>
    <row r="257" spans="1:8">
      <c r="A257">
        <v>4.5382999999999996</v>
      </c>
      <c r="B257">
        <v>3.5498099999999999</v>
      </c>
      <c r="D257">
        <v>12.9282</v>
      </c>
      <c r="E257">
        <v>3.54617</v>
      </c>
      <c r="G257">
        <v>13.1502</v>
      </c>
      <c r="H257">
        <v>3.5392899999999998</v>
      </c>
    </row>
    <row r="258" spans="1:8">
      <c r="A258">
        <v>4.6855799999999999</v>
      </c>
      <c r="B258">
        <v>3.6998099999999998</v>
      </c>
      <c r="D258">
        <v>13.3299</v>
      </c>
      <c r="E258">
        <v>3.69617</v>
      </c>
      <c r="G258">
        <v>13.707700000000001</v>
      </c>
      <c r="H258">
        <v>3.6892900000000002</v>
      </c>
    </row>
    <row r="259" spans="1:8">
      <c r="A259">
        <v>4.8326500000000001</v>
      </c>
      <c r="B259">
        <v>3.8498100000000002</v>
      </c>
      <c r="D259">
        <v>13.7209</v>
      </c>
      <c r="E259">
        <v>3.8461699999999999</v>
      </c>
      <c r="G259">
        <v>14.246</v>
      </c>
      <c r="H259">
        <v>3.8392900000000001</v>
      </c>
    </row>
    <row r="260" spans="1:8">
      <c r="A260">
        <v>4.9795299999999996</v>
      </c>
      <c r="B260">
        <v>3.9998100000000001</v>
      </c>
      <c r="D260">
        <v>14.101900000000001</v>
      </c>
      <c r="E260">
        <v>3.9961700000000002</v>
      </c>
      <c r="G260">
        <v>14.7536</v>
      </c>
      <c r="H260">
        <v>3.98929</v>
      </c>
    </row>
    <row r="261" spans="1:8">
      <c r="A261">
        <v>5.1261599999999996</v>
      </c>
      <c r="B261">
        <v>4.1498100000000004</v>
      </c>
      <c r="D261">
        <v>14.4664</v>
      </c>
      <c r="E261">
        <v>4.1461699999999997</v>
      </c>
      <c r="G261">
        <v>15.226100000000001</v>
      </c>
      <c r="H261">
        <v>4.1392899999999999</v>
      </c>
    </row>
    <row r="262" spans="1:8">
      <c r="A262">
        <v>5.27257</v>
      </c>
      <c r="B262">
        <v>4.2998099999999999</v>
      </c>
      <c r="D262">
        <v>14.813700000000001</v>
      </c>
      <c r="E262">
        <v>4.29617</v>
      </c>
      <c r="G262">
        <v>15.647</v>
      </c>
      <c r="H262">
        <v>4.2892900000000003</v>
      </c>
    </row>
    <row r="263" spans="1:8">
      <c r="A263">
        <v>5.4187799999999999</v>
      </c>
      <c r="B263">
        <v>4.4498100000000003</v>
      </c>
      <c r="D263">
        <v>15.152100000000001</v>
      </c>
      <c r="E263">
        <v>4.4461700000000004</v>
      </c>
      <c r="G263">
        <v>15.917299999999999</v>
      </c>
      <c r="H263">
        <v>4.4392899999999997</v>
      </c>
    </row>
    <row r="264" spans="1:8">
      <c r="A264">
        <v>5.5648299999999997</v>
      </c>
      <c r="B264">
        <v>4.5998099999999997</v>
      </c>
      <c r="D264">
        <v>15.4819</v>
      </c>
      <c r="E264">
        <v>4.5961699999999999</v>
      </c>
      <c r="G264">
        <v>16.102599999999999</v>
      </c>
      <c r="H264">
        <v>4.5892900000000001</v>
      </c>
    </row>
    <row r="265" spans="1:8">
      <c r="A265">
        <v>5.7107200000000002</v>
      </c>
      <c r="B265">
        <v>4.7498100000000001</v>
      </c>
      <c r="D265">
        <v>15.798400000000001</v>
      </c>
      <c r="E265">
        <v>4.7461700000000002</v>
      </c>
      <c r="G265">
        <v>16.266500000000001</v>
      </c>
      <c r="H265">
        <v>4.7392899999999996</v>
      </c>
    </row>
    <row r="266" spans="1:8">
      <c r="A266">
        <v>5.8565399999999999</v>
      </c>
      <c r="B266">
        <v>4.8998100000000004</v>
      </c>
      <c r="D266">
        <v>16.063600000000001</v>
      </c>
      <c r="E266">
        <v>4.8961699999999997</v>
      </c>
      <c r="G266">
        <v>16.410299999999999</v>
      </c>
      <c r="H266">
        <v>4.8892899999999999</v>
      </c>
    </row>
    <row r="267" spans="1:8">
      <c r="A267">
        <v>5.9991199999999996</v>
      </c>
      <c r="B267">
        <v>5.0498099999999999</v>
      </c>
      <c r="D267">
        <v>16.2667</v>
      </c>
      <c r="E267">
        <v>5.04617</v>
      </c>
      <c r="G267">
        <v>16.5367</v>
      </c>
      <c r="H267">
        <v>5.0392900000000003</v>
      </c>
    </row>
    <row r="268" spans="1:8">
      <c r="A268">
        <v>6.1352000000000002</v>
      </c>
      <c r="B268">
        <v>5.1998100000000003</v>
      </c>
      <c r="D268">
        <v>16.456600000000002</v>
      </c>
      <c r="E268">
        <v>5.1961700000000004</v>
      </c>
      <c r="G268">
        <v>16.648700000000002</v>
      </c>
      <c r="H268">
        <v>5.1892899999999997</v>
      </c>
    </row>
    <row r="269" spans="1:8">
      <c r="A269">
        <v>6.2708899999999996</v>
      </c>
      <c r="B269">
        <v>5.3498099999999997</v>
      </c>
      <c r="D269">
        <v>16.6387</v>
      </c>
      <c r="E269">
        <v>5.3461699999999999</v>
      </c>
      <c r="G269">
        <v>16.721800000000002</v>
      </c>
      <c r="H269">
        <v>5.3392900000000001</v>
      </c>
    </row>
    <row r="270" spans="1:8">
      <c r="A270">
        <v>6.4062400000000004</v>
      </c>
      <c r="B270">
        <v>5.4998100000000001</v>
      </c>
      <c r="D270">
        <v>16.814299999999999</v>
      </c>
      <c r="E270">
        <v>5.4961700000000002</v>
      </c>
      <c r="G270">
        <v>16.776499999999999</v>
      </c>
      <c r="H270">
        <v>5.4892899999999996</v>
      </c>
    </row>
    <row r="271" spans="1:8">
      <c r="A271">
        <v>6.54129</v>
      </c>
      <c r="B271">
        <v>5.6498100000000004</v>
      </c>
      <c r="D271">
        <v>16.9849</v>
      </c>
      <c r="E271">
        <v>5.6461699999999997</v>
      </c>
      <c r="G271">
        <v>16.814</v>
      </c>
      <c r="H271">
        <v>5.6392899999999999</v>
      </c>
    </row>
    <row r="272" spans="1:8">
      <c r="A272">
        <v>6.6760099999999998</v>
      </c>
      <c r="B272">
        <v>5.7998099999999999</v>
      </c>
      <c r="D272">
        <v>17.149999999999999</v>
      </c>
      <c r="E272">
        <v>5.79617</v>
      </c>
      <c r="G272">
        <v>16.8371</v>
      </c>
      <c r="H272">
        <v>5.7892900000000003</v>
      </c>
    </row>
    <row r="273" spans="1:8">
      <c r="A273">
        <v>6.8104300000000002</v>
      </c>
      <c r="B273">
        <v>5.9498100000000003</v>
      </c>
      <c r="D273">
        <v>17.309100000000001</v>
      </c>
      <c r="E273">
        <v>5.9461700000000004</v>
      </c>
      <c r="G273">
        <v>16.848500000000001</v>
      </c>
      <c r="H273">
        <v>5.9392899999999997</v>
      </c>
    </row>
    <row r="274" spans="1:8">
      <c r="A274">
        <v>6.9445600000000001</v>
      </c>
      <c r="B274">
        <v>6.0998099999999997</v>
      </c>
      <c r="D274">
        <v>17.4558</v>
      </c>
      <c r="E274">
        <v>6.0961699999999999</v>
      </c>
      <c r="G274">
        <v>16.8431</v>
      </c>
      <c r="H274">
        <v>6.0892900000000001</v>
      </c>
    </row>
    <row r="275" spans="1:8">
      <c r="A275">
        <v>7.07836</v>
      </c>
      <c r="B275">
        <v>6.2498100000000001</v>
      </c>
      <c r="D275">
        <v>17.593299999999999</v>
      </c>
      <c r="E275">
        <v>6.2461700000000002</v>
      </c>
      <c r="G275">
        <v>16.827200000000001</v>
      </c>
      <c r="H275">
        <v>6.2392899999999996</v>
      </c>
    </row>
    <row r="276" spans="1:8">
      <c r="A276">
        <v>7.2118599999999997</v>
      </c>
      <c r="B276">
        <v>6.3998100000000004</v>
      </c>
      <c r="D276">
        <v>17.726099999999999</v>
      </c>
      <c r="E276">
        <v>6.3961699999999997</v>
      </c>
      <c r="G276">
        <v>16.799299999999999</v>
      </c>
      <c r="H276">
        <v>6.3892899999999999</v>
      </c>
    </row>
    <row r="277" spans="1:8">
      <c r="A277">
        <v>7.3450699999999998</v>
      </c>
      <c r="B277">
        <v>6.5498099999999999</v>
      </c>
      <c r="D277">
        <v>17.854900000000001</v>
      </c>
      <c r="E277">
        <v>6.54617</v>
      </c>
      <c r="G277">
        <v>16.761299999999999</v>
      </c>
      <c r="H277">
        <v>6.5392900000000003</v>
      </c>
    </row>
    <row r="278" spans="1:8">
      <c r="A278">
        <v>7.47797</v>
      </c>
      <c r="B278">
        <v>6.6998100000000003</v>
      </c>
      <c r="D278">
        <v>17.979199999999999</v>
      </c>
      <c r="E278">
        <v>6.6961700000000004</v>
      </c>
      <c r="G278">
        <v>16.7135</v>
      </c>
      <c r="H278">
        <v>6.6892899999999997</v>
      </c>
    </row>
    <row r="279" spans="1:8">
      <c r="A279">
        <v>7.6105499999999999</v>
      </c>
      <c r="B279">
        <v>6.8498099999999997</v>
      </c>
      <c r="D279">
        <v>18.100100000000001</v>
      </c>
      <c r="E279">
        <v>6.8461699999999999</v>
      </c>
      <c r="G279">
        <v>16.656300000000002</v>
      </c>
      <c r="H279">
        <v>6.8392900000000001</v>
      </c>
    </row>
    <row r="280" spans="1:8">
      <c r="A280">
        <v>7.7428100000000004</v>
      </c>
      <c r="B280">
        <v>6.9998100000000001</v>
      </c>
      <c r="D280">
        <v>18.218299999999999</v>
      </c>
      <c r="E280">
        <v>6.9961700000000002</v>
      </c>
      <c r="G280">
        <v>16.591699999999999</v>
      </c>
      <c r="H280">
        <v>6.9892899999999996</v>
      </c>
    </row>
    <row r="281" spans="1:8">
      <c r="A281">
        <v>7.8687800000000001</v>
      </c>
      <c r="B281">
        <v>7.1498100000000004</v>
      </c>
      <c r="D281">
        <v>18.333500000000001</v>
      </c>
      <c r="E281">
        <v>7.1461699999999997</v>
      </c>
      <c r="G281">
        <v>16.5199</v>
      </c>
      <c r="H281">
        <v>7.1392899999999999</v>
      </c>
    </row>
    <row r="282" spans="1:8">
      <c r="A282">
        <v>7.9822300000000004</v>
      </c>
      <c r="B282">
        <v>7.2998099999999999</v>
      </c>
      <c r="D282">
        <v>18.445599999999999</v>
      </c>
      <c r="E282">
        <v>7.29617</v>
      </c>
      <c r="G282">
        <v>16.440200000000001</v>
      </c>
      <c r="H282">
        <v>7.2892900000000003</v>
      </c>
    </row>
    <row r="283" spans="1:8">
      <c r="A283">
        <v>8.0638799999999993</v>
      </c>
      <c r="B283">
        <v>7.4498100000000003</v>
      </c>
      <c r="D283">
        <v>18.555199999999999</v>
      </c>
      <c r="E283">
        <v>7.4461700000000004</v>
      </c>
      <c r="G283">
        <v>16.3523</v>
      </c>
      <c r="H283">
        <v>7.4392899999999997</v>
      </c>
    </row>
    <row r="284" spans="1:8">
      <c r="A284">
        <v>8.1311599999999995</v>
      </c>
      <c r="B284">
        <v>7.5998099999999997</v>
      </c>
      <c r="D284">
        <v>18.662400000000002</v>
      </c>
      <c r="E284">
        <v>7.5961699999999999</v>
      </c>
      <c r="G284">
        <v>16.257999999999999</v>
      </c>
      <c r="H284">
        <v>7.5892900000000001</v>
      </c>
    </row>
    <row r="285" spans="1:8">
      <c r="A285">
        <v>8.1974599999999995</v>
      </c>
      <c r="B285">
        <v>7.7498100000000001</v>
      </c>
      <c r="D285">
        <v>18.766500000000001</v>
      </c>
      <c r="E285">
        <v>7.7461700000000002</v>
      </c>
      <c r="G285">
        <v>16.151399999999999</v>
      </c>
      <c r="H285">
        <v>7.7392899999999996</v>
      </c>
    </row>
    <row r="286" spans="1:8">
      <c r="A286">
        <v>8.2631999999999994</v>
      </c>
      <c r="B286">
        <v>7.8998100000000004</v>
      </c>
      <c r="D286">
        <v>18.867899999999999</v>
      </c>
      <c r="E286">
        <v>7.8961699999999997</v>
      </c>
      <c r="G286">
        <v>16.035499999999999</v>
      </c>
      <c r="H286">
        <v>7.8892899999999999</v>
      </c>
    </row>
    <row r="287" spans="1:8">
      <c r="A287">
        <v>8.3285900000000002</v>
      </c>
      <c r="B287">
        <v>8.0498100000000008</v>
      </c>
      <c r="D287">
        <v>18.966000000000001</v>
      </c>
      <c r="E287">
        <v>8.04617</v>
      </c>
      <c r="G287">
        <v>15.9137</v>
      </c>
      <c r="H287">
        <v>8.0392899999999994</v>
      </c>
    </row>
    <row r="288" spans="1:8">
      <c r="A288">
        <v>8.3936600000000006</v>
      </c>
      <c r="B288">
        <v>8.1998099999999994</v>
      </c>
      <c r="D288">
        <v>19.052299999999999</v>
      </c>
      <c r="E288">
        <v>8.1961700000000004</v>
      </c>
      <c r="G288">
        <v>15.784800000000001</v>
      </c>
      <c r="H288">
        <v>8.1892899999999997</v>
      </c>
    </row>
    <row r="289" spans="1:8">
      <c r="A289">
        <v>8.4584399999999995</v>
      </c>
      <c r="B289">
        <v>8.3498099999999997</v>
      </c>
      <c r="D289">
        <v>19.124500000000001</v>
      </c>
      <c r="E289">
        <v>8.3461700000000008</v>
      </c>
      <c r="G289">
        <v>15.6502</v>
      </c>
      <c r="H289">
        <v>8.3392900000000001</v>
      </c>
    </row>
    <row r="290" spans="1:8">
      <c r="A290">
        <v>8.5229400000000002</v>
      </c>
      <c r="B290">
        <v>8.4998100000000001</v>
      </c>
      <c r="D290">
        <v>19.191600000000001</v>
      </c>
      <c r="E290">
        <v>8.4961699999999993</v>
      </c>
      <c r="G290">
        <v>15.510400000000001</v>
      </c>
      <c r="H290">
        <v>8.4892900000000004</v>
      </c>
    </row>
    <row r="291" spans="1:8">
      <c r="A291">
        <v>8.5871600000000008</v>
      </c>
      <c r="B291">
        <v>8.6498100000000004</v>
      </c>
      <c r="D291">
        <v>19.256</v>
      </c>
      <c r="E291">
        <v>8.6461699999999997</v>
      </c>
      <c r="G291">
        <v>15.3668</v>
      </c>
      <c r="H291">
        <v>8.6392900000000008</v>
      </c>
    </row>
    <row r="292" spans="1:8">
      <c r="A292">
        <v>8.6510800000000003</v>
      </c>
      <c r="B292">
        <v>8.7998100000000008</v>
      </c>
      <c r="D292">
        <v>19.318200000000001</v>
      </c>
      <c r="E292">
        <v>8.79617</v>
      </c>
      <c r="G292">
        <v>15.22</v>
      </c>
      <c r="H292">
        <v>8.7892899999999994</v>
      </c>
    </row>
    <row r="293" spans="1:8">
      <c r="A293">
        <v>8.7147000000000006</v>
      </c>
      <c r="B293">
        <v>8.9498099999999994</v>
      </c>
      <c r="D293">
        <v>19.378299999999999</v>
      </c>
      <c r="E293">
        <v>8.9461700000000004</v>
      </c>
      <c r="G293">
        <v>15.0693</v>
      </c>
      <c r="H293">
        <v>8.9392899999999997</v>
      </c>
    </row>
    <row r="294" spans="1:8">
      <c r="A294">
        <v>8.7780000000000005</v>
      </c>
      <c r="B294">
        <v>9.0998099999999997</v>
      </c>
      <c r="D294">
        <v>19.435700000000001</v>
      </c>
      <c r="E294">
        <v>9.0961700000000008</v>
      </c>
      <c r="G294">
        <v>14.914999999999999</v>
      </c>
      <c r="H294">
        <v>9.0892900000000001</v>
      </c>
    </row>
    <row r="295" spans="1:8">
      <c r="A295">
        <v>8.8377599999999994</v>
      </c>
      <c r="B295">
        <v>9.2498100000000001</v>
      </c>
      <c r="D295">
        <v>19.4907</v>
      </c>
      <c r="E295">
        <v>9.2461699999999993</v>
      </c>
      <c r="G295">
        <v>14.7563</v>
      </c>
      <c r="H295">
        <v>9.2392900000000004</v>
      </c>
    </row>
    <row r="296" spans="1:8">
      <c r="A296">
        <v>8.8853000000000009</v>
      </c>
      <c r="B296">
        <v>9.3998100000000004</v>
      </c>
      <c r="D296">
        <v>19.543199999999999</v>
      </c>
      <c r="E296">
        <v>9.3961699999999997</v>
      </c>
      <c r="G296">
        <v>14.5938</v>
      </c>
      <c r="H296">
        <v>9.3892900000000008</v>
      </c>
    </row>
    <row r="297" spans="1:8">
      <c r="A297">
        <v>8.9223599999999994</v>
      </c>
      <c r="B297">
        <v>9.5498100000000008</v>
      </c>
      <c r="D297">
        <v>19.593800000000002</v>
      </c>
      <c r="E297">
        <v>9.54617</v>
      </c>
      <c r="G297">
        <v>14.427899999999999</v>
      </c>
      <c r="H297">
        <v>9.5392899999999994</v>
      </c>
    </row>
    <row r="298" spans="1:8">
      <c r="A298">
        <v>8.9512499999999999</v>
      </c>
      <c r="B298">
        <v>9.6998099999999994</v>
      </c>
      <c r="D298">
        <v>19.642499999999998</v>
      </c>
      <c r="E298">
        <v>9.6961700000000004</v>
      </c>
      <c r="G298">
        <v>14.258900000000001</v>
      </c>
      <c r="H298">
        <v>9.6892899999999997</v>
      </c>
    </row>
    <row r="299" spans="1:8">
      <c r="A299">
        <v>8.9795099999999994</v>
      </c>
      <c r="B299">
        <v>9.8498099999999997</v>
      </c>
      <c r="D299">
        <v>19.6846</v>
      </c>
      <c r="E299">
        <v>9.8461700000000008</v>
      </c>
      <c r="G299">
        <v>14.086399999999999</v>
      </c>
      <c r="H299">
        <v>9.8392900000000001</v>
      </c>
    </row>
    <row r="300" spans="1:8">
      <c r="A300">
        <v>9.0074400000000008</v>
      </c>
      <c r="B300">
        <v>9.9998100000000001</v>
      </c>
      <c r="D300">
        <v>19.700099999999999</v>
      </c>
      <c r="E300">
        <v>9.9961699999999993</v>
      </c>
      <c r="G300">
        <v>13.910600000000001</v>
      </c>
      <c r="H300">
        <v>9.9892900000000004</v>
      </c>
    </row>
    <row r="301" spans="1:8">
      <c r="A301">
        <v>8.8171999999999997</v>
      </c>
      <c r="B301">
        <v>9.7998100000000008</v>
      </c>
      <c r="D301">
        <v>19.428899999999999</v>
      </c>
      <c r="E301">
        <v>9.79617</v>
      </c>
      <c r="G301">
        <v>13.441800000000001</v>
      </c>
      <c r="H301">
        <v>9.7892899999999994</v>
      </c>
    </row>
    <row r="302" spans="1:8">
      <c r="A302">
        <v>8.6269399999999994</v>
      </c>
      <c r="B302">
        <v>9.5998099999999997</v>
      </c>
      <c r="D302">
        <v>19.155200000000001</v>
      </c>
      <c r="E302">
        <v>9.5961700000000008</v>
      </c>
      <c r="G302">
        <v>12.9709</v>
      </c>
      <c r="H302">
        <v>9.5892900000000001</v>
      </c>
    </row>
    <row r="303" spans="1:8">
      <c r="A303">
        <v>8.4366299999999992</v>
      </c>
      <c r="B303">
        <v>9.3998100000000004</v>
      </c>
      <c r="D303">
        <v>18.878799999999998</v>
      </c>
      <c r="E303">
        <v>9.3961699999999997</v>
      </c>
      <c r="G303">
        <v>12.4878</v>
      </c>
      <c r="H303">
        <v>9.3892900000000008</v>
      </c>
    </row>
    <row r="304" spans="1:8">
      <c r="A304">
        <v>8.2462700000000009</v>
      </c>
      <c r="B304">
        <v>9.1998099999999994</v>
      </c>
      <c r="D304">
        <v>18.597300000000001</v>
      </c>
      <c r="E304">
        <v>9.1961700000000004</v>
      </c>
      <c r="G304">
        <v>11.998799999999999</v>
      </c>
      <c r="H304">
        <v>9.1892899999999997</v>
      </c>
    </row>
    <row r="305" spans="1:8">
      <c r="A305">
        <v>8.0558599999999991</v>
      </c>
      <c r="B305">
        <v>8.9998100000000001</v>
      </c>
      <c r="D305">
        <v>18.311199999999999</v>
      </c>
      <c r="E305">
        <v>8.9961699999999993</v>
      </c>
      <c r="G305">
        <v>11.508800000000001</v>
      </c>
      <c r="H305">
        <v>8.9892900000000004</v>
      </c>
    </row>
    <row r="306" spans="1:8">
      <c r="A306">
        <v>7.8653899999999997</v>
      </c>
      <c r="B306">
        <v>8.7998100000000008</v>
      </c>
      <c r="D306">
        <v>18.020800000000001</v>
      </c>
      <c r="E306">
        <v>8.79617</v>
      </c>
      <c r="G306">
        <v>11.0181</v>
      </c>
      <c r="H306">
        <v>8.7892899999999994</v>
      </c>
    </row>
    <row r="307" spans="1:8">
      <c r="A307">
        <v>7.6748399999999997</v>
      </c>
      <c r="B307">
        <v>8.5998099999999997</v>
      </c>
      <c r="D307">
        <v>17.726099999999999</v>
      </c>
      <c r="E307">
        <v>8.5961700000000008</v>
      </c>
      <c r="G307">
        <v>10.5261</v>
      </c>
      <c r="H307">
        <v>8.5892900000000001</v>
      </c>
    </row>
    <row r="308" spans="1:8">
      <c r="A308">
        <v>7.4841899999999999</v>
      </c>
      <c r="B308">
        <v>8.3998100000000004</v>
      </c>
      <c r="D308">
        <v>17.427800000000001</v>
      </c>
      <c r="E308">
        <v>8.3961699999999997</v>
      </c>
      <c r="G308">
        <v>10.024800000000001</v>
      </c>
      <c r="H308">
        <v>8.3892900000000008</v>
      </c>
    </row>
    <row r="309" spans="1:8">
      <c r="A309">
        <v>7.2934799999999997</v>
      </c>
      <c r="B309">
        <v>8.1998099999999994</v>
      </c>
      <c r="D309">
        <v>17.125900000000001</v>
      </c>
      <c r="E309">
        <v>8.1961700000000004</v>
      </c>
      <c r="G309">
        <v>9.5144400000000005</v>
      </c>
      <c r="H309">
        <v>8.1892899999999997</v>
      </c>
    </row>
    <row r="310" spans="1:8">
      <c r="A310">
        <v>7.1026800000000003</v>
      </c>
      <c r="B310">
        <v>7.9998100000000001</v>
      </c>
      <c r="D310">
        <v>16.820499999999999</v>
      </c>
      <c r="E310">
        <v>7.9961700000000002</v>
      </c>
      <c r="G310">
        <v>8.9991199999999996</v>
      </c>
      <c r="H310">
        <v>7.9892899999999996</v>
      </c>
    </row>
    <row r="311" spans="1:8">
      <c r="A311">
        <v>6.9117800000000003</v>
      </c>
      <c r="B311">
        <v>7.7998099999999999</v>
      </c>
      <c r="D311">
        <v>16.5077</v>
      </c>
      <c r="E311">
        <v>7.79617</v>
      </c>
      <c r="G311">
        <v>8.4725999999999999</v>
      </c>
      <c r="H311">
        <v>7.7892900000000003</v>
      </c>
    </row>
    <row r="312" spans="1:8">
      <c r="A312">
        <v>6.7207699999999999</v>
      </c>
      <c r="B312">
        <v>7.5998099999999997</v>
      </c>
      <c r="D312">
        <v>16.1891</v>
      </c>
      <c r="E312">
        <v>7.5961699999999999</v>
      </c>
      <c r="G312">
        <v>7.9420599999999997</v>
      </c>
      <c r="H312">
        <v>7.5892900000000001</v>
      </c>
    </row>
    <row r="313" spans="1:8">
      <c r="A313">
        <v>6.52963</v>
      </c>
      <c r="B313">
        <v>7.3998100000000004</v>
      </c>
      <c r="D313">
        <v>15.8652</v>
      </c>
      <c r="E313">
        <v>7.3961699999999997</v>
      </c>
      <c r="G313">
        <v>7.4109299999999996</v>
      </c>
      <c r="H313">
        <v>7.3892899999999999</v>
      </c>
    </row>
    <row r="314" spans="1:8">
      <c r="A314">
        <v>6.3383399999999996</v>
      </c>
      <c r="B314">
        <v>7.1998100000000003</v>
      </c>
      <c r="D314">
        <v>15.533899999999999</v>
      </c>
      <c r="E314">
        <v>7.1961700000000004</v>
      </c>
      <c r="G314">
        <v>6.8787799999999999</v>
      </c>
      <c r="H314">
        <v>7.1892899999999997</v>
      </c>
    </row>
    <row r="315" spans="1:8">
      <c r="A315">
        <v>6.1468999999999996</v>
      </c>
      <c r="B315">
        <v>6.9998100000000001</v>
      </c>
      <c r="D315">
        <v>15.1966</v>
      </c>
      <c r="E315">
        <v>6.9961700000000002</v>
      </c>
      <c r="G315">
        <v>6.3385800000000003</v>
      </c>
      <c r="H315">
        <v>6.9892899999999996</v>
      </c>
    </row>
    <row r="316" spans="1:8">
      <c r="A316">
        <v>5.9553200000000004</v>
      </c>
      <c r="B316">
        <v>6.7998099999999999</v>
      </c>
      <c r="D316">
        <v>14.8508</v>
      </c>
      <c r="E316">
        <v>6.79617</v>
      </c>
      <c r="G316">
        <v>5.7873200000000002</v>
      </c>
      <c r="H316">
        <v>6.7892900000000003</v>
      </c>
    </row>
    <row r="317" spans="1:8">
      <c r="A317">
        <v>5.7635500000000004</v>
      </c>
      <c r="B317">
        <v>6.5998099999999997</v>
      </c>
      <c r="D317">
        <v>14.494</v>
      </c>
      <c r="E317">
        <v>6.5961699999999999</v>
      </c>
      <c r="G317">
        <v>5.2296199999999997</v>
      </c>
      <c r="H317">
        <v>6.5892900000000001</v>
      </c>
    </row>
    <row r="318" spans="1:8">
      <c r="A318">
        <v>5.5715500000000002</v>
      </c>
      <c r="B318">
        <v>6.3998100000000004</v>
      </c>
      <c r="D318">
        <v>14.126099999999999</v>
      </c>
      <c r="E318">
        <v>6.3961699999999997</v>
      </c>
      <c r="G318">
        <v>4.6607900000000004</v>
      </c>
      <c r="H318">
        <v>6.3892899999999999</v>
      </c>
    </row>
    <row r="319" spans="1:8">
      <c r="A319">
        <v>5.3793100000000003</v>
      </c>
      <c r="B319">
        <v>6.1998100000000003</v>
      </c>
      <c r="D319">
        <v>13.7479</v>
      </c>
      <c r="E319">
        <v>6.1961700000000004</v>
      </c>
      <c r="G319">
        <v>4.0908300000000004</v>
      </c>
      <c r="H319">
        <v>6.1892899999999997</v>
      </c>
    </row>
    <row r="320" spans="1:8">
      <c r="A320">
        <v>5.1867799999999997</v>
      </c>
      <c r="B320">
        <v>5.9998100000000001</v>
      </c>
      <c r="D320">
        <v>13.361800000000001</v>
      </c>
      <c r="E320">
        <v>5.9961700000000002</v>
      </c>
      <c r="G320">
        <v>3.5211399999999999</v>
      </c>
      <c r="H320">
        <v>5.9892899999999996</v>
      </c>
    </row>
    <row r="321" spans="1:8">
      <c r="A321">
        <v>4.9939099999999996</v>
      </c>
      <c r="B321">
        <v>5.7998099999999999</v>
      </c>
      <c r="D321">
        <v>12.9657</v>
      </c>
      <c r="E321">
        <v>5.79617</v>
      </c>
      <c r="G321">
        <v>2.94625</v>
      </c>
      <c r="H321">
        <v>5.7892900000000003</v>
      </c>
    </row>
    <row r="322" spans="1:8">
      <c r="A322">
        <v>4.8007099999999996</v>
      </c>
      <c r="B322">
        <v>5.5998099999999997</v>
      </c>
      <c r="D322">
        <v>12.557600000000001</v>
      </c>
      <c r="E322">
        <v>5.5961699999999999</v>
      </c>
      <c r="G322">
        <v>2.3593199999999999</v>
      </c>
      <c r="H322">
        <v>5.5892900000000001</v>
      </c>
    </row>
    <row r="323" spans="1:8">
      <c r="A323">
        <v>4.6071799999999996</v>
      </c>
      <c r="B323">
        <v>5.3998100000000004</v>
      </c>
      <c r="D323">
        <v>12.1357</v>
      </c>
      <c r="E323">
        <v>5.3961699999999997</v>
      </c>
      <c r="G323">
        <v>1.7646299999999999</v>
      </c>
      <c r="H323">
        <v>5.3892899999999999</v>
      </c>
    </row>
    <row r="324" spans="1:8">
      <c r="A324">
        <v>4.4131499999999999</v>
      </c>
      <c r="B324">
        <v>5.1998100000000003</v>
      </c>
      <c r="D324">
        <v>11.703099999999999</v>
      </c>
      <c r="E324">
        <v>5.1961700000000004</v>
      </c>
      <c r="G324">
        <v>1.1587000000000001</v>
      </c>
      <c r="H324">
        <v>5.1892899999999997</v>
      </c>
    </row>
    <row r="325" spans="1:8">
      <c r="A325">
        <v>4.21861</v>
      </c>
      <c r="B325">
        <v>4.9998100000000001</v>
      </c>
      <c r="D325">
        <v>11.256500000000001</v>
      </c>
      <c r="E325">
        <v>4.9961700000000002</v>
      </c>
      <c r="G325">
        <v>0.55241200000000001</v>
      </c>
      <c r="H325">
        <v>4.9892899999999996</v>
      </c>
    </row>
    <row r="326" spans="1:8">
      <c r="A326">
        <v>4.0233999999999996</v>
      </c>
      <c r="B326">
        <v>4.7998099999999999</v>
      </c>
      <c r="D326">
        <v>10.792199999999999</v>
      </c>
      <c r="E326">
        <v>4.79617</v>
      </c>
      <c r="G326">
        <v>-5.3778600000000003E-2</v>
      </c>
      <c r="H326">
        <v>4.7892900000000003</v>
      </c>
    </row>
    <row r="327" spans="1:8">
      <c r="A327">
        <v>3.8274499999999998</v>
      </c>
      <c r="B327">
        <v>4.5998099999999997</v>
      </c>
      <c r="D327">
        <v>10.311299999999999</v>
      </c>
      <c r="E327">
        <v>4.5961699999999999</v>
      </c>
      <c r="G327">
        <v>-0.66208800000000001</v>
      </c>
      <c r="H327">
        <v>4.5892900000000001</v>
      </c>
    </row>
    <row r="328" spans="1:8">
      <c r="A328">
        <v>3.6306099999999999</v>
      </c>
      <c r="B328">
        <v>4.3998100000000004</v>
      </c>
      <c r="D328">
        <v>9.8152600000000003</v>
      </c>
      <c r="E328">
        <v>4.3961699999999997</v>
      </c>
      <c r="G328">
        <v>-1.27254</v>
      </c>
      <c r="H328">
        <v>4.3892899999999999</v>
      </c>
    </row>
    <row r="329" spans="1:8">
      <c r="A329">
        <v>3.4326099999999999</v>
      </c>
      <c r="B329">
        <v>4.1998100000000003</v>
      </c>
      <c r="D329">
        <v>9.3118599999999994</v>
      </c>
      <c r="E329">
        <v>4.1961700000000004</v>
      </c>
      <c r="G329">
        <v>-1.8866099999999999</v>
      </c>
      <c r="H329">
        <v>4.1892899999999997</v>
      </c>
    </row>
    <row r="330" spans="1:8">
      <c r="A330">
        <v>3.2331799999999999</v>
      </c>
      <c r="B330">
        <v>3.9998100000000001</v>
      </c>
      <c r="D330">
        <v>8.7899700000000003</v>
      </c>
      <c r="E330">
        <v>3.9961700000000002</v>
      </c>
      <c r="G330">
        <v>-2.5012799999999999</v>
      </c>
      <c r="H330">
        <v>3.98929</v>
      </c>
    </row>
    <row r="331" spans="1:8">
      <c r="A331">
        <v>3.0318399999999999</v>
      </c>
      <c r="B331">
        <v>3.7998099999999999</v>
      </c>
      <c r="D331">
        <v>8.2470099999999995</v>
      </c>
      <c r="E331">
        <v>3.79617</v>
      </c>
      <c r="G331">
        <v>-3.1158999999999999</v>
      </c>
      <c r="H331">
        <v>3.7892899999999998</v>
      </c>
    </row>
    <row r="332" spans="1:8">
      <c r="A332">
        <v>2.8282799999999999</v>
      </c>
      <c r="B332">
        <v>3.5998100000000002</v>
      </c>
      <c r="D332">
        <v>7.6974799999999997</v>
      </c>
      <c r="E332">
        <v>3.5961699999999999</v>
      </c>
      <c r="G332">
        <v>-3.73047</v>
      </c>
      <c r="H332">
        <v>3.5892900000000001</v>
      </c>
    </row>
    <row r="333" spans="1:8">
      <c r="A333">
        <v>2.6222699999999999</v>
      </c>
      <c r="B333">
        <v>3.39981</v>
      </c>
      <c r="D333">
        <v>7.1334999999999997</v>
      </c>
      <c r="E333">
        <v>3.3961700000000001</v>
      </c>
      <c r="G333">
        <v>-4.3446400000000001</v>
      </c>
      <c r="H333">
        <v>3.3892899999999999</v>
      </c>
    </row>
    <row r="334" spans="1:8">
      <c r="A334">
        <v>2.4134600000000002</v>
      </c>
      <c r="B334">
        <v>3.1998099999999998</v>
      </c>
      <c r="D334">
        <v>6.5466699999999998</v>
      </c>
      <c r="E334">
        <v>3.19617</v>
      </c>
      <c r="G334">
        <v>-4.95845</v>
      </c>
      <c r="H334">
        <v>3.1892900000000002</v>
      </c>
    </row>
    <row r="335" spans="1:8">
      <c r="A335">
        <v>2.20112</v>
      </c>
      <c r="B335">
        <v>2.9998100000000001</v>
      </c>
      <c r="D335">
        <v>5.9535</v>
      </c>
      <c r="E335">
        <v>2.9961700000000002</v>
      </c>
      <c r="G335">
        <v>-5.5717699999999999</v>
      </c>
      <c r="H335">
        <v>2.98929</v>
      </c>
    </row>
    <row r="336" spans="1:8">
      <c r="A336">
        <v>1.98438</v>
      </c>
      <c r="B336">
        <v>2.7998099999999999</v>
      </c>
      <c r="D336">
        <v>5.3450199999999999</v>
      </c>
      <c r="E336">
        <v>2.79617</v>
      </c>
      <c r="G336">
        <v>-6.1845800000000004</v>
      </c>
      <c r="H336">
        <v>2.7892899999999998</v>
      </c>
    </row>
    <row r="337" spans="1:8">
      <c r="A337">
        <v>1.7620199999999999</v>
      </c>
      <c r="B337">
        <v>2.5998100000000002</v>
      </c>
      <c r="D337">
        <v>4.7188499999999998</v>
      </c>
      <c r="E337">
        <v>2.5961699999999999</v>
      </c>
      <c r="G337">
        <v>-6.7950400000000002</v>
      </c>
      <c r="H337">
        <v>2.5892900000000001</v>
      </c>
    </row>
    <row r="338" spans="1:8">
      <c r="A338">
        <v>1.53264</v>
      </c>
      <c r="B338">
        <v>2.39981</v>
      </c>
      <c r="D338">
        <v>4.0811900000000003</v>
      </c>
      <c r="E338">
        <v>2.3961700000000001</v>
      </c>
      <c r="G338">
        <v>-7.4031000000000002</v>
      </c>
      <c r="H338">
        <v>2.3892899999999999</v>
      </c>
    </row>
    <row r="339" spans="1:8">
      <c r="A339">
        <v>1.30122</v>
      </c>
      <c r="B339">
        <v>2.1998099999999998</v>
      </c>
      <c r="D339">
        <v>3.41757</v>
      </c>
      <c r="E339">
        <v>2.19617</v>
      </c>
      <c r="G339">
        <v>-8.0085999999999995</v>
      </c>
      <c r="H339">
        <v>2.1892900000000002</v>
      </c>
    </row>
    <row r="340" spans="1:8">
      <c r="A340">
        <v>1.0631200000000001</v>
      </c>
      <c r="B340">
        <v>1.9998100000000001</v>
      </c>
      <c r="D340">
        <v>2.7455799999999999</v>
      </c>
      <c r="E340">
        <v>1.99617</v>
      </c>
      <c r="G340">
        <v>-8.6112900000000003</v>
      </c>
      <c r="H340">
        <v>1.98929</v>
      </c>
    </row>
    <row r="341" spans="1:8">
      <c r="A341">
        <v>0.80676000000000003</v>
      </c>
      <c r="B341">
        <v>1.7998099999999999</v>
      </c>
      <c r="D341">
        <v>2.0545800000000001</v>
      </c>
      <c r="E341">
        <v>1.79617</v>
      </c>
      <c r="G341">
        <v>-9.2117799999999992</v>
      </c>
      <c r="H341">
        <v>1.78929</v>
      </c>
    </row>
    <row r="342" spans="1:8">
      <c r="A342">
        <v>0.52917400000000003</v>
      </c>
      <c r="B342">
        <v>1.59981</v>
      </c>
      <c r="D342">
        <v>1.35503</v>
      </c>
      <c r="E342">
        <v>1.5961700000000001</v>
      </c>
      <c r="G342">
        <v>-9.8090899999999994</v>
      </c>
      <c r="H342">
        <v>1.5892900000000001</v>
      </c>
    </row>
    <row r="343" spans="1:8">
      <c r="A343">
        <v>0.237816</v>
      </c>
      <c r="B343">
        <v>1.39981</v>
      </c>
      <c r="D343">
        <v>0.63449999999999995</v>
      </c>
      <c r="E343">
        <v>1.3961699999999999</v>
      </c>
      <c r="G343">
        <v>-10.397</v>
      </c>
      <c r="H343">
        <v>1.3892899999999999</v>
      </c>
    </row>
    <row r="344" spans="1:8">
      <c r="A344">
        <v>-5.2576699999999997E-2</v>
      </c>
      <c r="B344">
        <v>1.19981</v>
      </c>
      <c r="D344">
        <v>-8.4165400000000001E-2</v>
      </c>
      <c r="E344">
        <v>1.19617</v>
      </c>
      <c r="G344">
        <v>-10.975899999999999</v>
      </c>
      <c r="H344">
        <v>1.18929</v>
      </c>
    </row>
    <row r="345" spans="1:8">
      <c r="A345">
        <v>-0.31880399999999998</v>
      </c>
      <c r="B345">
        <v>0.99981200000000003</v>
      </c>
      <c r="D345">
        <v>-0.79840599999999995</v>
      </c>
      <c r="E345">
        <v>0.99616700000000002</v>
      </c>
      <c r="G345">
        <v>-11.5443</v>
      </c>
      <c r="H345">
        <v>0.98929199999999995</v>
      </c>
    </row>
    <row r="346" spans="1:8">
      <c r="A346">
        <v>-0.55825899999999995</v>
      </c>
      <c r="B346">
        <v>0.79981199999999997</v>
      </c>
      <c r="D346">
        <v>-1.5126500000000001</v>
      </c>
      <c r="E346">
        <v>0.79616699999999996</v>
      </c>
      <c r="G346">
        <v>-12.1022</v>
      </c>
      <c r="H346">
        <v>0.78929199999999999</v>
      </c>
    </row>
    <row r="347" spans="1:8">
      <c r="A347">
        <v>-0.77838799999999997</v>
      </c>
      <c r="B347">
        <v>0.59981200000000001</v>
      </c>
      <c r="D347">
        <v>-2.2212299999999998</v>
      </c>
      <c r="E347">
        <v>0.596167</v>
      </c>
      <c r="G347">
        <v>-12.6487</v>
      </c>
      <c r="H347">
        <v>0.58929200000000004</v>
      </c>
    </row>
    <row r="348" spans="1:8">
      <c r="A348">
        <v>-0.97702999999999995</v>
      </c>
      <c r="B348">
        <v>0.399812</v>
      </c>
      <c r="D348">
        <v>-2.9297</v>
      </c>
      <c r="E348">
        <v>0.39616699999999999</v>
      </c>
      <c r="G348">
        <v>-13.179399999999999</v>
      </c>
      <c r="H348">
        <v>0.38929200000000003</v>
      </c>
    </row>
    <row r="349" spans="1:8">
      <c r="A349">
        <v>-1.1196299999999999</v>
      </c>
      <c r="B349">
        <v>0.19981199999999999</v>
      </c>
      <c r="D349">
        <v>-3.6370399999999998</v>
      </c>
      <c r="E349">
        <v>0.19616700000000001</v>
      </c>
      <c r="G349">
        <v>-13.698399999999999</v>
      </c>
      <c r="H349">
        <v>0.18929199999999999</v>
      </c>
    </row>
    <row r="350" spans="1:8">
      <c r="A350">
        <v>-1.2430600000000001</v>
      </c>
      <c r="B350">
        <v>-1.8810300000000001E-4</v>
      </c>
      <c r="D350">
        <f>-4.33283</f>
        <v>-4.3328300000000004</v>
      </c>
      <c r="E350">
        <v>-3.83271E-3</v>
      </c>
      <c r="G350">
        <v>-14.2066</v>
      </c>
      <c r="H350">
        <v>-1.0707599999999999E-2</v>
      </c>
    </row>
    <row r="351" spans="1:8">
      <c r="A351">
        <v>-1.36256</v>
      </c>
      <c r="B351">
        <v>-0.200188</v>
      </c>
      <c r="D351">
        <f>-5.00135</f>
        <v>-5.0013500000000004</v>
      </c>
      <c r="E351">
        <v>-0.20383299999999999</v>
      </c>
      <c r="G351">
        <v>-14.7052</v>
      </c>
      <c r="H351">
        <v>-0.21070800000000001</v>
      </c>
    </row>
    <row r="352" spans="1:8">
      <c r="A352">
        <v>-1.4789600000000001</v>
      </c>
      <c r="B352">
        <v>-0.40018799999999999</v>
      </c>
      <c r="D352">
        <f>-5.6532</f>
        <v>-5.6532</v>
      </c>
      <c r="E352">
        <v>-0.403833</v>
      </c>
      <c r="G352">
        <v>-15.193</v>
      </c>
      <c r="H352">
        <v>-0.41070800000000002</v>
      </c>
    </row>
    <row r="353" spans="1:8">
      <c r="A353">
        <v>-1.59276</v>
      </c>
      <c r="B353">
        <v>-0.60018800000000005</v>
      </c>
      <c r="D353">
        <f>-6.28432</f>
        <v>-6.2843200000000001</v>
      </c>
      <c r="E353">
        <v>-0.60383299999999995</v>
      </c>
      <c r="G353">
        <v>-15.671099999999999</v>
      </c>
      <c r="H353">
        <v>-0.61070800000000003</v>
      </c>
    </row>
    <row r="354" spans="1:8">
      <c r="A354">
        <v>-1.7045300000000001</v>
      </c>
      <c r="B354">
        <v>-0.80018800000000001</v>
      </c>
      <c r="D354">
        <f>-6.88998</f>
        <v>-6.8899800000000004</v>
      </c>
      <c r="E354">
        <v>-0.80383300000000002</v>
      </c>
      <c r="G354">
        <v>-16.139800000000001</v>
      </c>
      <c r="H354">
        <v>-0.81070799999999998</v>
      </c>
    </row>
    <row r="355" spans="1:8">
      <c r="A355">
        <v>-1.81853</v>
      </c>
      <c r="B355">
        <v>-1.0001899999999999</v>
      </c>
      <c r="D355">
        <f>-7.46849</f>
        <v>-7.4684900000000001</v>
      </c>
      <c r="E355">
        <v>-1.00383</v>
      </c>
      <c r="G355">
        <v>-16.597799999999999</v>
      </c>
      <c r="H355">
        <v>-1.01071</v>
      </c>
    </row>
    <row r="356" spans="1:8">
      <c r="A356">
        <v>-1.9599200000000001</v>
      </c>
      <c r="B356">
        <v>-1.2001900000000001</v>
      </c>
      <c r="D356">
        <f>-8.03355</f>
        <v>-8.03355</v>
      </c>
      <c r="E356">
        <v>-1.20383</v>
      </c>
      <c r="G356">
        <v>-17.046500000000002</v>
      </c>
      <c r="H356">
        <v>-1.21071</v>
      </c>
    </row>
    <row r="357" spans="1:8">
      <c r="A357">
        <v>-2.1099600000000001</v>
      </c>
      <c r="B357">
        <v>-1.40019</v>
      </c>
      <c r="D357">
        <f>-8.5733</f>
        <v>-8.5732999999999997</v>
      </c>
      <c r="E357">
        <v>-1.4038299999999999</v>
      </c>
      <c r="G357">
        <v>-17.482299999999999</v>
      </c>
      <c r="H357">
        <v>-1.4107099999999999</v>
      </c>
    </row>
    <row r="358" spans="1:8">
      <c r="A358">
        <v>-2.2598600000000002</v>
      </c>
      <c r="B358">
        <v>-1.60019</v>
      </c>
      <c r="D358">
        <f>-9.09311</f>
        <v>-9.0931099999999994</v>
      </c>
      <c r="E358">
        <v>-1.6038300000000001</v>
      </c>
      <c r="G358">
        <v>-17.887799999999999</v>
      </c>
      <c r="H358">
        <v>-1.6107100000000001</v>
      </c>
    </row>
    <row r="359" spans="1:8">
      <c r="A359">
        <v>-2.4086400000000001</v>
      </c>
      <c r="B359">
        <v>-1.80019</v>
      </c>
      <c r="D359">
        <f>-9.59722</f>
        <v>-9.5972200000000001</v>
      </c>
      <c r="E359">
        <v>-1.80383</v>
      </c>
      <c r="G359">
        <v>-18.233000000000001</v>
      </c>
      <c r="H359">
        <v>-1.81071</v>
      </c>
    </row>
    <row r="360" spans="1:8">
      <c r="A360">
        <v>-2.5562200000000002</v>
      </c>
      <c r="B360">
        <v>-2.0001899999999999</v>
      </c>
      <c r="D360">
        <f>-10.0744</f>
        <v>-10.074400000000001</v>
      </c>
      <c r="E360">
        <v>-2.0038299999999998</v>
      </c>
      <c r="G360">
        <v>-18.5657</v>
      </c>
      <c r="H360">
        <v>-2.01071</v>
      </c>
    </row>
    <row r="361" spans="1:8">
      <c r="A361">
        <v>-2.7026699999999999</v>
      </c>
      <c r="B361">
        <v>-2.2001900000000001</v>
      </c>
      <c r="D361">
        <f>-10.5333</f>
        <v>-10.533300000000001</v>
      </c>
      <c r="E361">
        <v>-2.20383</v>
      </c>
      <c r="G361">
        <v>-18.877800000000001</v>
      </c>
      <c r="H361">
        <v>-2.2107100000000002</v>
      </c>
    </row>
    <row r="362" spans="1:8">
      <c r="A362">
        <v>-2.84816</v>
      </c>
      <c r="B362">
        <v>-2.4001899999999998</v>
      </c>
      <c r="D362">
        <f>-10.9703</f>
        <v>-10.9703</v>
      </c>
      <c r="E362">
        <v>-2.4038300000000001</v>
      </c>
      <c r="G362">
        <v>-19.177399999999999</v>
      </c>
      <c r="H362">
        <v>-2.4107099999999999</v>
      </c>
    </row>
    <row r="363" spans="1:8">
      <c r="A363">
        <v>-2.9929000000000001</v>
      </c>
      <c r="B363">
        <v>-2.60019</v>
      </c>
      <c r="D363">
        <f>-11.3872</f>
        <v>-11.3872</v>
      </c>
      <c r="E363">
        <v>-2.6038299999999999</v>
      </c>
      <c r="G363">
        <v>-19.4635</v>
      </c>
      <c r="H363">
        <v>-2.6107100000000001</v>
      </c>
    </row>
    <row r="364" spans="1:8">
      <c r="A364">
        <v>-3.13693</v>
      </c>
      <c r="B364">
        <v>-2.8001900000000002</v>
      </c>
      <c r="D364">
        <f>-11.7904</f>
        <v>-11.7904</v>
      </c>
      <c r="E364">
        <v>-2.80383</v>
      </c>
      <c r="G364">
        <v>-19.721599999999999</v>
      </c>
      <c r="H364">
        <v>-2.8107099999999998</v>
      </c>
    </row>
    <row r="365" spans="1:8">
      <c r="A365">
        <v>-3.2805</v>
      </c>
      <c r="B365">
        <v>-3.0001899999999999</v>
      </c>
      <c r="D365">
        <f>-12.1712</f>
        <v>-12.171200000000001</v>
      </c>
      <c r="E365">
        <v>-3.0038299999999998</v>
      </c>
      <c r="G365">
        <v>-19.922699999999999</v>
      </c>
      <c r="H365">
        <v>-3.01071</v>
      </c>
    </row>
    <row r="366" spans="1:8">
      <c r="A366">
        <v>-3.4236599999999999</v>
      </c>
      <c r="B366">
        <v>-3.2001900000000001</v>
      </c>
      <c r="D366">
        <f>-12.5362</f>
        <v>-12.536199999999999</v>
      </c>
      <c r="E366">
        <v>-3.20383</v>
      </c>
      <c r="G366">
        <v>-20.060199999999998</v>
      </c>
      <c r="H366">
        <v>-3.2107100000000002</v>
      </c>
    </row>
    <row r="367" spans="1:8">
      <c r="A367">
        <v>-3.5664799999999999</v>
      </c>
      <c r="B367">
        <v>-3.4001899999999998</v>
      </c>
      <c r="D367">
        <f>-12.885</f>
        <v>-12.885</v>
      </c>
      <c r="E367">
        <v>-3.4038300000000001</v>
      </c>
      <c r="G367">
        <v>-20.171199999999999</v>
      </c>
      <c r="H367">
        <v>-3.4107099999999999</v>
      </c>
    </row>
    <row r="368" spans="1:8">
      <c r="A368">
        <v>-3.7090399999999999</v>
      </c>
      <c r="B368">
        <v>-3.60019</v>
      </c>
      <c r="D368">
        <f>-13.2151</f>
        <v>-13.2151</v>
      </c>
      <c r="E368">
        <v>-3.6038299999999999</v>
      </c>
      <c r="G368">
        <v>-20.253</v>
      </c>
      <c r="H368">
        <v>-3.6107100000000001</v>
      </c>
    </row>
    <row r="369" spans="1:8">
      <c r="A369">
        <v>-3.85141</v>
      </c>
      <c r="B369">
        <v>-3.8001900000000002</v>
      </c>
      <c r="D369">
        <f>-13.5118</f>
        <v>-13.511799999999999</v>
      </c>
      <c r="E369">
        <v>-3.80383</v>
      </c>
      <c r="G369">
        <v>-20.264099999999999</v>
      </c>
      <c r="H369">
        <v>-3.8107099999999998</v>
      </c>
    </row>
    <row r="370" spans="1:8">
      <c r="A370">
        <v>-3.9936400000000001</v>
      </c>
      <c r="B370">
        <v>-4.0001899999999999</v>
      </c>
      <c r="D370">
        <f>-13.7853</f>
        <v>-13.785299999999999</v>
      </c>
      <c r="E370">
        <v>-4.0038299999999998</v>
      </c>
      <c r="G370">
        <v>-20.244499999999999</v>
      </c>
      <c r="H370">
        <v>-4.0107100000000004</v>
      </c>
    </row>
    <row r="371" spans="1:8">
      <c r="A371">
        <v>-4.1356999999999999</v>
      </c>
      <c r="B371">
        <v>-4.2001900000000001</v>
      </c>
      <c r="D371">
        <f>-14.0429</f>
        <v>-14.042899999999999</v>
      </c>
      <c r="E371">
        <v>-4.20383</v>
      </c>
      <c r="G371">
        <v>-20.200199999999999</v>
      </c>
      <c r="H371">
        <v>-4.2107099999999997</v>
      </c>
    </row>
    <row r="372" spans="1:8">
      <c r="A372">
        <v>-4.2776500000000004</v>
      </c>
      <c r="B372">
        <v>-4.4001900000000003</v>
      </c>
      <c r="D372">
        <f>-14.2902</f>
        <v>-14.2902</v>
      </c>
      <c r="E372">
        <v>-4.4038300000000001</v>
      </c>
      <c r="G372">
        <v>-20.135300000000001</v>
      </c>
      <c r="H372">
        <v>-4.4107099999999999</v>
      </c>
    </row>
    <row r="373" spans="1:8">
      <c r="A373">
        <v>-4.4194599999999999</v>
      </c>
      <c r="B373">
        <v>-4.6001899999999996</v>
      </c>
      <c r="D373">
        <f>-14.5231</f>
        <v>-14.523099999999999</v>
      </c>
      <c r="E373">
        <v>-4.6038300000000003</v>
      </c>
      <c r="G373">
        <v>-20.045200000000001</v>
      </c>
      <c r="H373">
        <v>-4.6107100000000001</v>
      </c>
    </row>
    <row r="374" spans="1:8">
      <c r="A374">
        <v>-4.5608399999999998</v>
      </c>
      <c r="B374">
        <v>-4.8001899999999997</v>
      </c>
      <c r="D374">
        <f>-14.74</f>
        <v>-14.74</v>
      </c>
      <c r="E374">
        <v>-4.8038299999999996</v>
      </c>
      <c r="G374">
        <v>-19.945799999999998</v>
      </c>
      <c r="H374">
        <v>-4.8107100000000003</v>
      </c>
    </row>
    <row r="375" spans="1:8">
      <c r="A375">
        <v>-4.7016400000000003</v>
      </c>
      <c r="B375">
        <v>-5.0001899999999999</v>
      </c>
      <c r="D375">
        <f>-14.9453</f>
        <v>-14.9453</v>
      </c>
      <c r="E375">
        <v>-5.0038299999999998</v>
      </c>
      <c r="G375">
        <v>-19.8429</v>
      </c>
      <c r="H375">
        <v>-5.0107100000000004</v>
      </c>
    </row>
    <row r="376" spans="1:8">
      <c r="A376">
        <v>-4.8422499999999999</v>
      </c>
      <c r="B376">
        <v>-5.2001900000000001</v>
      </c>
      <c r="D376">
        <f>-15.1317</f>
        <v>-15.1317</v>
      </c>
      <c r="E376">
        <v>-5.20383</v>
      </c>
      <c r="G376">
        <v>-19.736499999999999</v>
      </c>
      <c r="H376">
        <v>-5.2107099999999997</v>
      </c>
    </row>
    <row r="377" spans="1:8">
      <c r="A377">
        <v>-4.9827500000000002</v>
      </c>
      <c r="B377">
        <v>-5.4001900000000003</v>
      </c>
      <c r="D377">
        <f>-15.3146</f>
        <v>-15.3146</v>
      </c>
      <c r="E377">
        <v>-5.4038300000000001</v>
      </c>
      <c r="G377">
        <v>-19.6282</v>
      </c>
      <c r="H377">
        <v>-5.4107099999999999</v>
      </c>
    </row>
    <row r="378" spans="1:8">
      <c r="A378">
        <v>-5.1201800000000004</v>
      </c>
      <c r="B378">
        <v>-5.6001899999999996</v>
      </c>
      <c r="D378">
        <f>-15.4891</f>
        <v>-15.489100000000001</v>
      </c>
      <c r="E378">
        <v>-5.6038300000000003</v>
      </c>
      <c r="G378">
        <v>-19.514099999999999</v>
      </c>
      <c r="H378">
        <v>-5.6107100000000001</v>
      </c>
    </row>
    <row r="379" spans="1:8">
      <c r="A379">
        <v>-5.2399899999999997</v>
      </c>
      <c r="B379">
        <v>-5.8001899999999997</v>
      </c>
      <c r="D379">
        <f>-15.6524</f>
        <v>-15.6524</v>
      </c>
      <c r="E379">
        <v>-5.8038299999999996</v>
      </c>
      <c r="G379">
        <v>-19.394600000000001</v>
      </c>
      <c r="H379">
        <v>-5.8107100000000003</v>
      </c>
    </row>
    <row r="380" spans="1:8">
      <c r="A380">
        <v>-5.3460700000000001</v>
      </c>
      <c r="B380">
        <v>-6.0001899999999999</v>
      </c>
      <c r="D380">
        <f>-15.8102</f>
        <v>-15.8102</v>
      </c>
      <c r="E380">
        <v>-6.0038299999999998</v>
      </c>
      <c r="G380">
        <v>-19.270099999999999</v>
      </c>
      <c r="H380">
        <v>-6.0107100000000004</v>
      </c>
    </row>
    <row r="381" spans="1:8">
      <c r="A381">
        <v>-5.4504700000000001</v>
      </c>
      <c r="B381">
        <v>-6.2001900000000001</v>
      </c>
      <c r="D381">
        <f>-15.966</f>
        <v>-15.965999999999999</v>
      </c>
      <c r="E381">
        <v>-6.20383</v>
      </c>
      <c r="G381">
        <v>-19.135000000000002</v>
      </c>
      <c r="H381">
        <v>-6.2107099999999997</v>
      </c>
    </row>
    <row r="382" spans="1:8">
      <c r="A382">
        <v>-5.5548400000000004</v>
      </c>
      <c r="B382">
        <v>-6.4001900000000003</v>
      </c>
      <c r="D382">
        <f>-16.1197</f>
        <v>-16.119700000000002</v>
      </c>
      <c r="E382">
        <v>-6.4038300000000001</v>
      </c>
      <c r="G382">
        <v>-18.9847</v>
      </c>
      <c r="H382">
        <v>-6.4107099999999999</v>
      </c>
    </row>
    <row r="383" spans="1:8">
      <c r="A383">
        <v>-5.6591800000000001</v>
      </c>
      <c r="B383">
        <v>-6.6001899999999996</v>
      </c>
      <c r="D383">
        <f>-16.2694</f>
        <v>-16.269400000000001</v>
      </c>
      <c r="E383">
        <v>-6.6038300000000003</v>
      </c>
      <c r="G383">
        <v>-18.812799999999999</v>
      </c>
      <c r="H383">
        <v>-6.6107100000000001</v>
      </c>
    </row>
    <row r="384" spans="1:8">
      <c r="A384">
        <v>-5.7634800000000004</v>
      </c>
      <c r="B384">
        <v>-6.8001899999999997</v>
      </c>
      <c r="D384">
        <f>-16.413</f>
        <v>-16.413</v>
      </c>
      <c r="E384">
        <v>-6.8038299999999996</v>
      </c>
      <c r="G384">
        <v>-18.623799999999999</v>
      </c>
      <c r="H384">
        <v>-6.8107100000000003</v>
      </c>
    </row>
    <row r="385" spans="1:8">
      <c r="A385">
        <v>-5.86768</v>
      </c>
      <c r="B385">
        <v>-7.0001899999999999</v>
      </c>
      <c r="D385">
        <f>-16.5485</f>
        <v>-16.548500000000001</v>
      </c>
      <c r="E385">
        <v>-7.0038299999999998</v>
      </c>
      <c r="G385">
        <v>-18.414899999999999</v>
      </c>
      <c r="H385">
        <v>-7.0107100000000004</v>
      </c>
    </row>
    <row r="386" spans="1:8">
      <c r="A386">
        <v>-5.9716300000000002</v>
      </c>
      <c r="B386">
        <v>-7.2001900000000001</v>
      </c>
      <c r="D386">
        <f>-16.6782</f>
        <v>-16.6782</v>
      </c>
      <c r="E386">
        <v>-7.20383</v>
      </c>
      <c r="G386">
        <v>-18.1782</v>
      </c>
      <c r="H386">
        <v>-7.2107099999999997</v>
      </c>
    </row>
    <row r="387" spans="1:8">
      <c r="A387">
        <v>-6.0752800000000002</v>
      </c>
      <c r="B387">
        <v>-7.4001900000000003</v>
      </c>
      <c r="D387">
        <f>-16.8061</f>
        <v>-16.806100000000001</v>
      </c>
      <c r="E387">
        <v>-7.4038300000000001</v>
      </c>
      <c r="G387">
        <v>-17.913499999999999</v>
      </c>
      <c r="H387">
        <v>-7.4107099999999999</v>
      </c>
    </row>
    <row r="388" spans="1:8">
      <c r="A388">
        <v>-6.1713100000000001</v>
      </c>
      <c r="B388">
        <v>-7.6001899999999996</v>
      </c>
      <c r="D388">
        <f>-16.9264</f>
        <v>-16.926400000000001</v>
      </c>
      <c r="E388">
        <v>-7.6038300000000003</v>
      </c>
      <c r="G388">
        <v>-17.623200000000001</v>
      </c>
      <c r="H388">
        <v>-7.6107100000000001</v>
      </c>
    </row>
    <row r="389" spans="1:8">
      <c r="A389">
        <v>-6.2192299999999996</v>
      </c>
      <c r="B389">
        <v>-7.8001899999999997</v>
      </c>
      <c r="D389">
        <f>-17.045</f>
        <v>-17.045000000000002</v>
      </c>
      <c r="E389">
        <v>-7.8038299999999996</v>
      </c>
      <c r="G389">
        <v>-17.326699999999999</v>
      </c>
      <c r="H389">
        <v>-7.8107100000000003</v>
      </c>
    </row>
    <row r="390" spans="1:8">
      <c r="A390">
        <v>-6.2544500000000003</v>
      </c>
      <c r="B390">
        <v>-8.0001899999999999</v>
      </c>
      <c r="D390">
        <f>-17.1618</f>
        <v>-17.161799999999999</v>
      </c>
      <c r="E390">
        <v>-8.0038300000000007</v>
      </c>
      <c r="G390">
        <v>-17.020199999999999</v>
      </c>
      <c r="H390">
        <v>-8.0107099999999996</v>
      </c>
    </row>
    <row r="391" spans="1:8">
      <c r="A391">
        <v>-6.2895099999999999</v>
      </c>
      <c r="B391">
        <v>-8.2001899999999992</v>
      </c>
      <c r="D391">
        <f>-17.2756</f>
        <v>-17.275600000000001</v>
      </c>
      <c r="E391">
        <v>-8.20383</v>
      </c>
      <c r="G391">
        <v>-16.667999999999999</v>
      </c>
      <c r="H391">
        <v>-8.2107100000000006</v>
      </c>
    </row>
    <row r="392" spans="1:8">
      <c r="A392">
        <v>-6.3245399999999998</v>
      </c>
      <c r="B392">
        <v>-8.4001900000000003</v>
      </c>
      <c r="D392">
        <f>-17.3869</f>
        <v>-17.386900000000001</v>
      </c>
      <c r="E392">
        <v>-8.4038299999999992</v>
      </c>
      <c r="G392">
        <v>-16.279</v>
      </c>
      <c r="H392">
        <v>-8.4107099999999999</v>
      </c>
    </row>
    <row r="393" spans="1:8">
      <c r="A393">
        <v>-6.3595300000000003</v>
      </c>
      <c r="B393">
        <v>-8.6001899999999996</v>
      </c>
      <c r="D393">
        <f>-17.4965</f>
        <v>-17.496500000000001</v>
      </c>
      <c r="E393">
        <v>-8.6038300000000003</v>
      </c>
      <c r="G393">
        <v>-15.8292</v>
      </c>
      <c r="H393">
        <v>-8.6107099999999992</v>
      </c>
    </row>
    <row r="394" spans="1:8">
      <c r="A394">
        <v>-6.3944799999999997</v>
      </c>
      <c r="B394">
        <v>-8.8001900000000006</v>
      </c>
      <c r="D394">
        <f>-17.6043</f>
        <v>-17.604299999999999</v>
      </c>
      <c r="E394">
        <v>-8.8038299999999996</v>
      </c>
      <c r="G394">
        <v>-15.354100000000001</v>
      </c>
      <c r="H394">
        <v>-8.8107100000000003</v>
      </c>
    </row>
    <row r="395" spans="1:8">
      <c r="A395">
        <v>-6.4290700000000003</v>
      </c>
      <c r="B395">
        <v>-9.0001899999999999</v>
      </c>
      <c r="D395">
        <f>-17.7098</f>
        <v>-17.709800000000001</v>
      </c>
      <c r="E395">
        <v>-9.0038300000000007</v>
      </c>
      <c r="G395">
        <v>-14.811500000000001</v>
      </c>
      <c r="H395">
        <v>-9.0107099999999996</v>
      </c>
    </row>
    <row r="396" spans="1:8">
      <c r="A396">
        <v>-6.4627800000000004</v>
      </c>
      <c r="B396">
        <v>-9.2001899999999992</v>
      </c>
      <c r="D396">
        <f>-17.8138</f>
        <v>-17.813800000000001</v>
      </c>
      <c r="E396">
        <v>-9.20383</v>
      </c>
      <c r="G396">
        <v>-14.158099999999999</v>
      </c>
      <c r="H396">
        <v>-9.2107100000000006</v>
      </c>
    </row>
    <row r="397" spans="1:8">
      <c r="A397">
        <v>-6.4964399999999998</v>
      </c>
      <c r="B397">
        <v>-9.4001900000000003</v>
      </c>
      <c r="D397">
        <f>-17.9161</f>
        <v>-17.9161</v>
      </c>
      <c r="E397">
        <v>-9.4038299999999992</v>
      </c>
      <c r="G397">
        <v>-13.4373</v>
      </c>
      <c r="H397">
        <v>-9.4107099999999999</v>
      </c>
    </row>
    <row r="398" spans="1:8">
      <c r="A398">
        <v>-6.5300399999999996</v>
      </c>
      <c r="B398">
        <v>-9.6001899999999996</v>
      </c>
      <c r="D398">
        <f>-18.0091</f>
        <v>-18.0091</v>
      </c>
      <c r="E398">
        <v>-9.6038300000000003</v>
      </c>
      <c r="G398">
        <v>-12.6584</v>
      </c>
      <c r="H398">
        <v>-9.6107099999999992</v>
      </c>
    </row>
    <row r="399" spans="1:8">
      <c r="A399">
        <v>-6.5636000000000001</v>
      </c>
      <c r="B399">
        <v>-9.8001900000000006</v>
      </c>
      <c r="D399">
        <f>-18.0706</f>
        <v>-18.070599999999999</v>
      </c>
      <c r="E399">
        <v>-9.8038299999999996</v>
      </c>
      <c r="G399">
        <v>-11.86</v>
      </c>
      <c r="H399">
        <v>-9.8107100000000003</v>
      </c>
    </row>
    <row r="400" spans="1:8">
      <c r="A400">
        <v>-6.5971299999999999</v>
      </c>
      <c r="B400">
        <v>-10.0002</v>
      </c>
      <c r="D400">
        <f>-18.1304</f>
        <v>-18.130400000000002</v>
      </c>
      <c r="E400">
        <v>-10.0038</v>
      </c>
      <c r="G400">
        <v>-11.141999999999999</v>
      </c>
      <c r="H400">
        <v>-10.0107</v>
      </c>
    </row>
    <row r="401" spans="1:8">
      <c r="A401">
        <v>-6.4209500000000004</v>
      </c>
      <c r="B401">
        <v>-9.7501899999999999</v>
      </c>
      <c r="D401">
        <f>-17.8866</f>
        <v>-17.886600000000001</v>
      </c>
      <c r="E401">
        <v>-9.7538300000000007</v>
      </c>
      <c r="G401">
        <v>-10.722</v>
      </c>
      <c r="H401">
        <v>-9.7607099999999996</v>
      </c>
    </row>
    <row r="402" spans="1:8">
      <c r="A402">
        <v>-6.2447299999999997</v>
      </c>
      <c r="B402">
        <v>-9.5001899999999999</v>
      </c>
      <c r="D402">
        <f>-17.6395</f>
        <v>-17.639500000000002</v>
      </c>
      <c r="E402">
        <v>-9.5038300000000007</v>
      </c>
      <c r="G402">
        <v>-10.2997</v>
      </c>
      <c r="H402">
        <v>-9.5107099999999996</v>
      </c>
    </row>
    <row r="403" spans="1:8">
      <c r="A403">
        <v>-6.06846</v>
      </c>
      <c r="B403">
        <v>-9.2501899999999999</v>
      </c>
      <c r="D403">
        <f>-17.3908</f>
        <v>-17.390799999999999</v>
      </c>
      <c r="E403">
        <v>-9.2538300000000007</v>
      </c>
      <c r="G403">
        <v>-9.8729200000000006</v>
      </c>
      <c r="H403">
        <v>-9.2607099999999996</v>
      </c>
    </row>
    <row r="404" spans="1:8">
      <c r="A404">
        <v>-5.8921599999999996</v>
      </c>
      <c r="B404">
        <v>-9.0001899999999999</v>
      </c>
      <c r="D404">
        <f>-17.1405</f>
        <v>-17.140499999999999</v>
      </c>
      <c r="E404">
        <v>-9.0038300000000007</v>
      </c>
      <c r="G404">
        <v>-9.4443599999999996</v>
      </c>
      <c r="H404">
        <v>-9.0107099999999996</v>
      </c>
    </row>
    <row r="405" spans="1:8">
      <c r="A405">
        <v>-5.7158100000000003</v>
      </c>
      <c r="B405">
        <v>-8.7501899999999999</v>
      </c>
      <c r="D405">
        <f>-16.8861</f>
        <v>-16.886099999999999</v>
      </c>
      <c r="E405">
        <v>-8.7538300000000007</v>
      </c>
      <c r="G405">
        <v>-9.0166299999999993</v>
      </c>
      <c r="H405">
        <v>-8.7607099999999996</v>
      </c>
    </row>
    <row r="406" spans="1:8">
      <c r="A406">
        <v>-5.53939</v>
      </c>
      <c r="B406">
        <v>-8.5001899999999999</v>
      </c>
      <c r="D406">
        <f>-16.6275</f>
        <v>-16.627500000000001</v>
      </c>
      <c r="E406">
        <v>-8.5038300000000007</v>
      </c>
      <c r="G406">
        <v>-8.5889199999999999</v>
      </c>
      <c r="H406">
        <v>-8.5107099999999996</v>
      </c>
    </row>
    <row r="407" spans="1:8">
      <c r="A407">
        <v>-5.3629300000000004</v>
      </c>
      <c r="B407">
        <v>-8.2501899999999999</v>
      </c>
      <c r="D407">
        <f>-16.365</f>
        <v>-16.364999999999998</v>
      </c>
      <c r="E407">
        <v>-8.2538300000000007</v>
      </c>
      <c r="G407">
        <v>-8.1587800000000001</v>
      </c>
      <c r="H407">
        <v>-8.2607099999999996</v>
      </c>
    </row>
    <row r="408" spans="1:8">
      <c r="A408">
        <v>-5.1863700000000001</v>
      </c>
      <c r="B408">
        <v>-8.0001899999999999</v>
      </c>
      <c r="D408">
        <f>-16.0995</f>
        <v>-16.099499999999999</v>
      </c>
      <c r="E408">
        <v>-8.0038300000000007</v>
      </c>
      <c r="G408">
        <v>-7.7260200000000001</v>
      </c>
      <c r="H408">
        <v>-8.0107099999999996</v>
      </c>
    </row>
    <row r="409" spans="1:8">
      <c r="A409">
        <v>-5.0097300000000002</v>
      </c>
      <c r="B409">
        <v>-7.7501899999999999</v>
      </c>
      <c r="D409">
        <f>-15.8285</f>
        <v>-15.8285</v>
      </c>
      <c r="E409">
        <v>-7.7538299999999998</v>
      </c>
      <c r="G409">
        <v>-7.2883500000000003</v>
      </c>
      <c r="H409">
        <v>-7.7607100000000004</v>
      </c>
    </row>
    <row r="410" spans="1:8">
      <c r="A410">
        <v>-4.8329899999999997</v>
      </c>
      <c r="B410">
        <v>-7.5001899999999999</v>
      </c>
      <c r="D410">
        <f>-15.5544</f>
        <v>-15.554399999999999</v>
      </c>
      <c r="E410">
        <v>-7.5038299999999998</v>
      </c>
      <c r="G410">
        <v>-6.8493000000000004</v>
      </c>
      <c r="H410">
        <v>-7.5107100000000004</v>
      </c>
    </row>
    <row r="411" spans="1:8">
      <c r="A411">
        <v>-4.6561500000000002</v>
      </c>
      <c r="B411">
        <v>-7.2501899999999999</v>
      </c>
      <c r="D411">
        <f>-15.2757</f>
        <v>-15.275700000000001</v>
      </c>
      <c r="E411">
        <v>-7.2538299999999998</v>
      </c>
      <c r="G411">
        <v>-6.4092000000000002</v>
      </c>
      <c r="H411">
        <v>-7.2607100000000004</v>
      </c>
    </row>
    <row r="412" spans="1:8">
      <c r="A412">
        <v>-4.4791999999999996</v>
      </c>
      <c r="B412">
        <v>-7.0001899999999999</v>
      </c>
      <c r="D412">
        <f>-14.9939</f>
        <v>-14.9939</v>
      </c>
      <c r="E412">
        <v>-7.0038299999999998</v>
      </c>
      <c r="G412">
        <v>-5.9679599999999997</v>
      </c>
      <c r="H412">
        <v>-7.0107100000000004</v>
      </c>
    </row>
    <row r="413" spans="1:8">
      <c r="A413">
        <v>-4.3021200000000004</v>
      </c>
      <c r="B413">
        <v>-6.7501899999999999</v>
      </c>
      <c r="D413">
        <f>-14.7068</f>
        <v>-14.706799999999999</v>
      </c>
      <c r="E413">
        <v>-6.7538299999999998</v>
      </c>
      <c r="G413">
        <v>-5.5252400000000002</v>
      </c>
      <c r="H413">
        <v>-6.7607100000000004</v>
      </c>
    </row>
    <row r="414" spans="1:8">
      <c r="A414">
        <v>-4.1249099999999999</v>
      </c>
      <c r="B414">
        <v>-6.5001899999999999</v>
      </c>
      <c r="D414">
        <f>-14.4136</f>
        <v>-14.413600000000001</v>
      </c>
      <c r="E414">
        <v>-6.5038299999999998</v>
      </c>
      <c r="G414">
        <v>-5.0806100000000001</v>
      </c>
      <c r="H414">
        <v>-6.5107100000000004</v>
      </c>
    </row>
    <row r="415" spans="1:8">
      <c r="A415">
        <v>-3.94753</v>
      </c>
      <c r="B415">
        <v>-6.2501899999999999</v>
      </c>
      <c r="D415">
        <f>-14.1115</f>
        <v>-14.111499999999999</v>
      </c>
      <c r="E415">
        <v>-6.2538299999999998</v>
      </c>
      <c r="G415">
        <v>-4.6361299999999996</v>
      </c>
      <c r="H415">
        <v>-6.2607100000000004</v>
      </c>
    </row>
    <row r="416" spans="1:8">
      <c r="A416">
        <v>-3.7699600000000002</v>
      </c>
      <c r="B416">
        <v>-6.0001899999999999</v>
      </c>
      <c r="D416">
        <f>-13.8056</f>
        <v>-13.8056</v>
      </c>
      <c r="E416">
        <v>-6.0038299999999998</v>
      </c>
      <c r="G416">
        <v>-4.19278</v>
      </c>
      <c r="H416">
        <v>-6.0107100000000004</v>
      </c>
    </row>
    <row r="417" spans="1:8">
      <c r="A417">
        <v>-3.5921400000000001</v>
      </c>
      <c r="B417">
        <v>-5.7501899999999999</v>
      </c>
      <c r="D417">
        <f>-13.4975</f>
        <v>-13.4975</v>
      </c>
      <c r="E417">
        <v>-5.7538299999999998</v>
      </c>
      <c r="G417">
        <v>-3.74607</v>
      </c>
      <c r="H417">
        <v>-5.7607100000000004</v>
      </c>
    </row>
    <row r="418" spans="1:8">
      <c r="A418">
        <v>-3.4140000000000001</v>
      </c>
      <c r="B418">
        <v>-5.5001899999999999</v>
      </c>
      <c r="D418">
        <f>-13.1795</f>
        <v>-13.179500000000001</v>
      </c>
      <c r="E418">
        <v>-5.5038299999999998</v>
      </c>
      <c r="G418">
        <v>-3.29678</v>
      </c>
      <c r="H418">
        <v>-5.5107100000000004</v>
      </c>
    </row>
    <row r="419" spans="1:8">
      <c r="A419">
        <v>-3.2355100000000001</v>
      </c>
      <c r="B419">
        <v>-5.2501899999999999</v>
      </c>
      <c r="D419">
        <f>-12.8518</f>
        <v>-12.851800000000001</v>
      </c>
      <c r="E419">
        <v>-5.2538299999999998</v>
      </c>
      <c r="G419">
        <v>-2.8457400000000002</v>
      </c>
      <c r="H419">
        <v>-5.2607100000000004</v>
      </c>
    </row>
    <row r="420" spans="1:8">
      <c r="A420">
        <v>-3.0564300000000002</v>
      </c>
      <c r="B420">
        <v>-5.0001899999999999</v>
      </c>
      <c r="D420">
        <f>-12.5155</f>
        <v>-12.515499999999999</v>
      </c>
      <c r="E420">
        <v>-5.0038299999999998</v>
      </c>
      <c r="G420">
        <v>-2.3938100000000002</v>
      </c>
      <c r="H420">
        <v>-5.0107100000000004</v>
      </c>
    </row>
    <row r="421" spans="1:8">
      <c r="A421">
        <v>-2.8766099999999999</v>
      </c>
      <c r="B421">
        <v>-4.7501899999999999</v>
      </c>
      <c r="D421">
        <f>-12.1719</f>
        <v>-12.171900000000001</v>
      </c>
      <c r="E421">
        <v>-4.7538299999999998</v>
      </c>
      <c r="G421">
        <v>-1.9405399999999999</v>
      </c>
      <c r="H421">
        <v>-4.7607100000000004</v>
      </c>
    </row>
    <row r="422" spans="1:8">
      <c r="A422">
        <v>-2.69584</v>
      </c>
      <c r="B422">
        <v>-4.5001899999999999</v>
      </c>
      <c r="D422">
        <f>-11.8147</f>
        <v>-11.8147</v>
      </c>
      <c r="E422">
        <v>-4.5038299999999998</v>
      </c>
      <c r="G422">
        <v>-1.4855100000000001</v>
      </c>
      <c r="H422">
        <v>-4.5107100000000004</v>
      </c>
    </row>
    <row r="423" spans="1:8">
      <c r="A423">
        <v>-2.5136599999999998</v>
      </c>
      <c r="B423">
        <v>-4.2501899999999999</v>
      </c>
      <c r="D423">
        <f>-11.4431</f>
        <v>-11.443099999999999</v>
      </c>
      <c r="E423">
        <v>-4.2538299999999998</v>
      </c>
      <c r="G423">
        <v>-1.03139</v>
      </c>
      <c r="H423">
        <v>-4.2607100000000004</v>
      </c>
    </row>
    <row r="424" spans="1:8">
      <c r="A424">
        <v>-2.3297300000000001</v>
      </c>
      <c r="B424">
        <v>-4.0001899999999999</v>
      </c>
      <c r="D424">
        <f>-11.0583</f>
        <v>-11.058299999999999</v>
      </c>
      <c r="E424">
        <v>-4.0038299999999998</v>
      </c>
      <c r="G424">
        <v>-0.57701599999999997</v>
      </c>
      <c r="H424">
        <v>-4.0107100000000004</v>
      </c>
    </row>
    <row r="425" spans="1:8">
      <c r="A425">
        <v>-2.1440299999999999</v>
      </c>
      <c r="B425">
        <v>-3.7501899999999999</v>
      </c>
      <c r="D425">
        <f>-10.6527</f>
        <v>-10.652699999999999</v>
      </c>
      <c r="E425">
        <v>-3.7538299999999998</v>
      </c>
      <c r="G425">
        <v>-0.118822</v>
      </c>
      <c r="H425">
        <v>-3.76071</v>
      </c>
    </row>
    <row r="426" spans="1:8">
      <c r="A426">
        <v>-1.9564600000000001</v>
      </c>
      <c r="B426">
        <v>-3.5001899999999999</v>
      </c>
      <c r="D426">
        <f>-10.2266</f>
        <v>-10.226599999999999</v>
      </c>
      <c r="E426">
        <v>-3.5038299999999998</v>
      </c>
      <c r="G426">
        <v>0.33927600000000002</v>
      </c>
      <c r="H426">
        <v>-3.51071</v>
      </c>
    </row>
    <row r="427" spans="1:8">
      <c r="A427">
        <v>-1.7662800000000001</v>
      </c>
      <c r="B427">
        <v>-3.2501899999999999</v>
      </c>
      <c r="D427">
        <f>-9.77827</f>
        <v>-9.7782699999999991</v>
      </c>
      <c r="E427">
        <v>-3.2538299999999998</v>
      </c>
      <c r="G427">
        <v>0.79843900000000001</v>
      </c>
      <c r="H427">
        <v>-3.26071</v>
      </c>
    </row>
    <row r="428" spans="1:8">
      <c r="A428">
        <v>-1.57308</v>
      </c>
      <c r="B428">
        <v>-3.0001899999999999</v>
      </c>
      <c r="D428">
        <f>-9.29919</f>
        <v>-9.2991899999999994</v>
      </c>
      <c r="E428">
        <v>-3.0038299999999998</v>
      </c>
      <c r="G428">
        <v>1.2637799999999999</v>
      </c>
      <c r="H428">
        <v>-3.01071</v>
      </c>
    </row>
    <row r="429" spans="1:8">
      <c r="A429">
        <v>-1.37683</v>
      </c>
      <c r="B429">
        <v>-2.7501899999999999</v>
      </c>
      <c r="D429">
        <f>-8.79695</f>
        <v>-8.7969500000000007</v>
      </c>
      <c r="E429">
        <v>-2.7538299999999998</v>
      </c>
      <c r="G429">
        <v>1.7291300000000001</v>
      </c>
      <c r="H429">
        <v>-2.76071</v>
      </c>
    </row>
    <row r="430" spans="1:8">
      <c r="A430">
        <v>-1.19408</v>
      </c>
      <c r="B430">
        <v>-2.5001899999999999</v>
      </c>
      <c r="D430">
        <f>-8.26371</f>
        <v>-8.2637099999999997</v>
      </c>
      <c r="E430">
        <v>-2.5038299999999998</v>
      </c>
      <c r="G430">
        <v>2.1979099999999998</v>
      </c>
      <c r="H430">
        <v>-2.51071</v>
      </c>
    </row>
    <row r="431" spans="1:8">
      <c r="A431">
        <v>-1.0401499999999999</v>
      </c>
      <c r="B431">
        <v>-2.2501899999999999</v>
      </c>
      <c r="D431">
        <f>-7.70467</f>
        <v>-7.7046700000000001</v>
      </c>
      <c r="E431">
        <v>-2.2538299999999998</v>
      </c>
      <c r="G431">
        <v>2.6731099999999999</v>
      </c>
      <c r="H431">
        <v>-2.26071</v>
      </c>
    </row>
    <row r="432" spans="1:8">
      <c r="A432">
        <v>-0.88092000000000004</v>
      </c>
      <c r="B432">
        <v>-2.0001899999999999</v>
      </c>
      <c r="D432">
        <f>-7.11652</f>
        <v>-7.1165200000000004</v>
      </c>
      <c r="E432">
        <v>-2.0038299999999998</v>
      </c>
      <c r="G432">
        <v>3.1449099999999999</v>
      </c>
      <c r="H432">
        <v>-2.01071</v>
      </c>
    </row>
    <row r="433" spans="1:8">
      <c r="A433">
        <v>-0.71304699999999999</v>
      </c>
      <c r="B433">
        <v>-1.7501899999999999</v>
      </c>
      <c r="D433">
        <f>-6.49984</f>
        <v>-6.4998399999999998</v>
      </c>
      <c r="E433">
        <v>-1.75383</v>
      </c>
      <c r="G433">
        <v>3.6143700000000001</v>
      </c>
      <c r="H433">
        <v>-1.76071</v>
      </c>
    </row>
    <row r="434" spans="1:8">
      <c r="A434">
        <v>-0.53904099999999999</v>
      </c>
      <c r="B434">
        <v>-1.5001899999999999</v>
      </c>
      <c r="D434">
        <f>-5.86225</f>
        <v>-5.8622500000000004</v>
      </c>
      <c r="E434">
        <v>-1.50383</v>
      </c>
      <c r="G434">
        <v>4.08263</v>
      </c>
      <c r="H434">
        <v>-1.51071</v>
      </c>
    </row>
    <row r="435" spans="1:8">
      <c r="A435">
        <v>-0.36188700000000001</v>
      </c>
      <c r="B435">
        <v>-1.2501899999999999</v>
      </c>
      <c r="D435">
        <f>-5.20392</f>
        <v>-5.2039200000000001</v>
      </c>
      <c r="E435">
        <v>-1.25383</v>
      </c>
      <c r="G435">
        <v>4.5500400000000001</v>
      </c>
      <c r="H435">
        <v>-1.26071</v>
      </c>
    </row>
    <row r="436" spans="1:8">
      <c r="A436">
        <v>-0.18352299999999999</v>
      </c>
      <c r="B436">
        <v>-1.0001899999999999</v>
      </c>
      <c r="D436">
        <f>-4.5215</f>
        <v>-4.5214999999999996</v>
      </c>
      <c r="E436">
        <v>-1.00383</v>
      </c>
      <c r="G436">
        <v>5.0130699999999999</v>
      </c>
      <c r="H436">
        <v>-1.01071</v>
      </c>
    </row>
    <row r="437" spans="1:8">
      <c r="A437">
        <v>-5.0205500000000004E-3</v>
      </c>
      <c r="B437">
        <v>-0.75018799999999997</v>
      </c>
      <c r="D437">
        <f>-3.80399</f>
        <v>-3.8039900000000002</v>
      </c>
      <c r="E437">
        <v>-0.75383299999999998</v>
      </c>
      <c r="G437">
        <v>5.4591500000000002</v>
      </c>
      <c r="H437">
        <v>-0.76070800000000005</v>
      </c>
    </row>
    <row r="438" spans="1:8">
      <c r="A438">
        <v>0.17319499999999999</v>
      </c>
      <c r="B438">
        <v>-0.50018799999999997</v>
      </c>
      <c r="D438">
        <f>-3.05997</f>
        <v>-3.0599699999999999</v>
      </c>
      <c r="E438">
        <v>-0.50383299999999998</v>
      </c>
      <c r="G438">
        <v>5.8557199999999998</v>
      </c>
      <c r="H438">
        <v>-0.51070800000000005</v>
      </c>
    </row>
    <row r="439" spans="1:8">
      <c r="A439">
        <v>0.35090900000000003</v>
      </c>
      <c r="B439">
        <v>-0.25018800000000002</v>
      </c>
      <c r="D439">
        <f>-2.29941</f>
        <v>-2.29941</v>
      </c>
      <c r="E439">
        <v>-0.25383299999999998</v>
      </c>
      <c r="G439">
        <v>6.2304500000000003</v>
      </c>
      <c r="H439">
        <v>-0.260708</v>
      </c>
    </row>
    <row r="440" spans="1:8">
      <c r="A440">
        <v>0.52765099999999998</v>
      </c>
      <c r="B440">
        <v>-1.8810300000000001E-4</v>
      </c>
      <c r="D440">
        <f>-1.51638</f>
        <v>-1.5163800000000001</v>
      </c>
      <c r="E440">
        <v>-3.83271E-3</v>
      </c>
      <c r="G440">
        <v>6.5635899999999996</v>
      </c>
      <c r="H440">
        <v>-1.0707599999999999E-2</v>
      </c>
    </row>
    <row r="441" spans="1:8">
      <c r="A441">
        <v>0.70289000000000001</v>
      </c>
      <c r="B441">
        <v>0.24981200000000001</v>
      </c>
      <c r="D441">
        <v>-0.73256100000000002</v>
      </c>
      <c r="E441">
        <v>0.246167</v>
      </c>
      <c r="G441">
        <v>6.8764399999999997</v>
      </c>
      <c r="H441">
        <v>0.239292</v>
      </c>
    </row>
    <row r="442" spans="1:8">
      <c r="A442">
        <v>0.86907800000000002</v>
      </c>
      <c r="B442">
        <v>0.49981199999999998</v>
      </c>
      <c r="D442">
        <v>5.6613499999999997E-2</v>
      </c>
      <c r="E442">
        <v>0.49616700000000002</v>
      </c>
      <c r="G442">
        <v>7.1791</v>
      </c>
      <c r="H442">
        <v>0.489292</v>
      </c>
    </row>
    <row r="443" spans="1:8">
      <c r="A443">
        <v>1.02515</v>
      </c>
      <c r="B443">
        <v>0.74981200000000003</v>
      </c>
      <c r="D443">
        <v>0.84972199999999998</v>
      </c>
      <c r="E443">
        <v>0.74616700000000002</v>
      </c>
      <c r="G443">
        <v>7.4574999999999996</v>
      </c>
      <c r="H443">
        <v>0.73929199999999995</v>
      </c>
    </row>
    <row r="444" spans="1:8">
      <c r="A444">
        <v>1.1494200000000001</v>
      </c>
      <c r="B444">
        <v>0.99981200000000003</v>
      </c>
      <c r="D444">
        <v>1.6195900000000001</v>
      </c>
      <c r="E444">
        <v>0.99616700000000002</v>
      </c>
      <c r="G444">
        <v>7.71835</v>
      </c>
      <c r="H444">
        <v>0.98929199999999995</v>
      </c>
    </row>
    <row r="445" spans="1:8">
      <c r="A445">
        <v>1.2633700000000001</v>
      </c>
      <c r="B445">
        <v>1.2498100000000001</v>
      </c>
      <c r="D445">
        <v>2.3930199999999999</v>
      </c>
      <c r="E445">
        <v>1.24617</v>
      </c>
      <c r="G445">
        <v>7.9506800000000002</v>
      </c>
      <c r="H445">
        <v>1.23929</v>
      </c>
    </row>
    <row r="446" spans="1:8">
      <c r="A446">
        <v>1.3763700000000001</v>
      </c>
      <c r="B446">
        <v>1.4998100000000001</v>
      </c>
      <c r="D446">
        <v>3.1465800000000002</v>
      </c>
      <c r="E446">
        <v>1.49617</v>
      </c>
      <c r="G446">
        <v>8.1553900000000006</v>
      </c>
      <c r="H446">
        <v>1.48929</v>
      </c>
    </row>
    <row r="447" spans="1:8">
      <c r="A447">
        <v>1.4834400000000001</v>
      </c>
      <c r="B447">
        <v>1.7498100000000001</v>
      </c>
      <c r="D447">
        <v>3.8982999999999999</v>
      </c>
      <c r="E447">
        <v>1.74617</v>
      </c>
      <c r="G447">
        <v>8.3108299999999993</v>
      </c>
      <c r="H447">
        <v>1.73929</v>
      </c>
    </row>
    <row r="448" spans="1:8">
      <c r="A448">
        <v>1.5986</v>
      </c>
      <c r="B448">
        <v>1.9998100000000001</v>
      </c>
      <c r="D448">
        <v>4.6385500000000004</v>
      </c>
      <c r="E448">
        <v>1.99617</v>
      </c>
      <c r="G448">
        <v>8.4132999999999996</v>
      </c>
      <c r="H448">
        <v>1.98929</v>
      </c>
    </row>
    <row r="449" spans="1:8">
      <c r="A449">
        <v>1.73648</v>
      </c>
      <c r="B449">
        <v>2.2498100000000001</v>
      </c>
      <c r="D449">
        <v>5.3667699999999998</v>
      </c>
      <c r="E449">
        <v>2.2461700000000002</v>
      </c>
      <c r="G449">
        <v>8.4455399999999994</v>
      </c>
      <c r="H449">
        <v>2.23929</v>
      </c>
    </row>
    <row r="450" spans="1:8">
      <c r="A450">
        <v>1.9416899999999999</v>
      </c>
      <c r="B450">
        <v>2.4998100000000001</v>
      </c>
      <c r="D450">
        <v>6.0981300000000003</v>
      </c>
      <c r="E450">
        <v>2.4961700000000002</v>
      </c>
      <c r="G450">
        <v>8.3839699999999997</v>
      </c>
      <c r="H450">
        <v>2.48929</v>
      </c>
    </row>
    <row r="451" spans="1:8">
      <c r="A451">
        <v>2.2018900000000001</v>
      </c>
      <c r="B451">
        <v>2.7498100000000001</v>
      </c>
      <c r="D451">
        <v>6.8012699999999997</v>
      </c>
      <c r="E451">
        <v>2.7461700000000002</v>
      </c>
      <c r="G451">
        <v>8.2030200000000004</v>
      </c>
      <c r="H451">
        <v>2.73929</v>
      </c>
    </row>
    <row r="452" spans="1:8">
      <c r="A452">
        <v>2.4601999999999999</v>
      </c>
      <c r="B452">
        <v>2.9998100000000001</v>
      </c>
      <c r="D452">
        <v>7.4921800000000003</v>
      </c>
      <c r="E452">
        <v>2.9961700000000002</v>
      </c>
      <c r="G452">
        <v>7.8648100000000003</v>
      </c>
      <c r="H452">
        <v>2.98929</v>
      </c>
    </row>
    <row r="453" spans="1:8">
      <c r="A453">
        <v>2.7142200000000001</v>
      </c>
      <c r="B453">
        <v>3.2498100000000001</v>
      </c>
      <c r="D453">
        <v>8.1673100000000005</v>
      </c>
      <c r="E453">
        <v>3.2461700000000002</v>
      </c>
      <c r="G453">
        <v>7.5069600000000003</v>
      </c>
      <c r="H453">
        <v>3.23929</v>
      </c>
    </row>
    <row r="454" spans="1:8">
      <c r="A454">
        <v>2.9647700000000001</v>
      </c>
      <c r="B454">
        <v>3.4998100000000001</v>
      </c>
      <c r="D454">
        <v>8.8138000000000005</v>
      </c>
      <c r="E454">
        <v>3.4961700000000002</v>
      </c>
      <c r="G454">
        <v>7.1409799999999999</v>
      </c>
      <c r="H454">
        <v>3.48929</v>
      </c>
    </row>
    <row r="455" spans="1:8">
      <c r="A455">
        <v>3.2121400000000002</v>
      </c>
      <c r="B455">
        <v>3.7498100000000001</v>
      </c>
      <c r="D455">
        <v>9.4420199999999994</v>
      </c>
      <c r="E455">
        <v>3.7461700000000002</v>
      </c>
      <c r="G455">
        <v>6.7773700000000003</v>
      </c>
      <c r="H455">
        <v>3.73929</v>
      </c>
    </row>
    <row r="456" spans="1:8">
      <c r="A456">
        <v>3.4566699999999999</v>
      </c>
      <c r="B456">
        <v>3.9998100000000001</v>
      </c>
      <c r="D456">
        <v>10.0501</v>
      </c>
      <c r="E456">
        <v>3.9961700000000002</v>
      </c>
      <c r="G456">
        <v>6.3967799999999997</v>
      </c>
      <c r="H456">
        <v>3.98929</v>
      </c>
    </row>
    <row r="457" spans="1:8">
      <c r="A457">
        <v>3.6992099999999999</v>
      </c>
      <c r="B457">
        <v>4.2498100000000001</v>
      </c>
      <c r="D457">
        <v>10.6272</v>
      </c>
      <c r="E457">
        <v>4.2461700000000002</v>
      </c>
      <c r="G457">
        <v>5.9951600000000003</v>
      </c>
      <c r="H457">
        <v>4.2392899999999996</v>
      </c>
    </row>
    <row r="458" spans="1:8">
      <c r="A458">
        <v>3.9403000000000001</v>
      </c>
      <c r="B458">
        <v>4.4998100000000001</v>
      </c>
      <c r="D458">
        <v>11.187200000000001</v>
      </c>
      <c r="E458">
        <v>4.4961700000000002</v>
      </c>
      <c r="G458">
        <v>5.5585199999999997</v>
      </c>
      <c r="H458">
        <v>4.4892899999999996</v>
      </c>
    </row>
    <row r="459" spans="1:8">
      <c r="A459">
        <v>4.1801700000000004</v>
      </c>
      <c r="B459">
        <v>4.7498100000000001</v>
      </c>
      <c r="D459">
        <v>11.7293</v>
      </c>
      <c r="E459">
        <v>4.7461700000000002</v>
      </c>
      <c r="G459">
        <v>5.1575600000000001</v>
      </c>
      <c r="H459">
        <v>4.7392899999999996</v>
      </c>
    </row>
    <row r="460" spans="1:8">
      <c r="A460">
        <v>4.4190500000000004</v>
      </c>
      <c r="B460">
        <v>4.9998100000000001</v>
      </c>
      <c r="D460">
        <v>12.2484</v>
      </c>
      <c r="E460">
        <v>4.9961700000000002</v>
      </c>
      <c r="G460">
        <v>4.8053400000000002</v>
      </c>
      <c r="H460">
        <v>4.9892899999999996</v>
      </c>
    </row>
    <row r="461" spans="1:8">
      <c r="A461">
        <v>4.6573200000000003</v>
      </c>
      <c r="B461">
        <v>5.2498100000000001</v>
      </c>
      <c r="D461">
        <v>12.7485</v>
      </c>
      <c r="E461">
        <v>5.2461700000000002</v>
      </c>
      <c r="G461">
        <v>4.4666199999999998</v>
      </c>
      <c r="H461">
        <v>5.2392899999999996</v>
      </c>
    </row>
    <row r="462" spans="1:8">
      <c r="A462">
        <v>4.8950800000000001</v>
      </c>
      <c r="B462">
        <v>5.4998100000000001</v>
      </c>
      <c r="D462">
        <v>13.232799999999999</v>
      </c>
      <c r="E462">
        <v>5.4961700000000002</v>
      </c>
      <c r="G462">
        <v>4.1395999999999997</v>
      </c>
      <c r="H462">
        <v>5.4892899999999996</v>
      </c>
    </row>
    <row r="463" spans="1:8">
      <c r="A463">
        <v>5.1322000000000001</v>
      </c>
      <c r="B463">
        <v>5.7498100000000001</v>
      </c>
      <c r="D463">
        <v>13.701499999999999</v>
      </c>
      <c r="E463">
        <v>5.7461700000000002</v>
      </c>
      <c r="G463">
        <v>3.85331</v>
      </c>
      <c r="H463">
        <v>5.7392899999999996</v>
      </c>
    </row>
    <row r="464" spans="1:8">
      <c r="A464">
        <v>5.36883</v>
      </c>
      <c r="B464">
        <v>5.9998100000000001</v>
      </c>
      <c r="D464">
        <v>14.152900000000001</v>
      </c>
      <c r="E464">
        <v>5.9961700000000002</v>
      </c>
      <c r="G464">
        <v>3.6247500000000001</v>
      </c>
      <c r="H464">
        <v>5.9892899999999996</v>
      </c>
    </row>
    <row r="465" spans="1:8">
      <c r="A465">
        <v>5.6050500000000003</v>
      </c>
      <c r="B465">
        <v>6.2498100000000001</v>
      </c>
      <c r="D465">
        <v>14.594900000000001</v>
      </c>
      <c r="E465">
        <v>6.2461700000000002</v>
      </c>
      <c r="G465">
        <v>3.43899</v>
      </c>
      <c r="H465">
        <v>6.2392899999999996</v>
      </c>
    </row>
    <row r="466" spans="1:8">
      <c r="A466">
        <v>5.8409599999999999</v>
      </c>
      <c r="B466">
        <v>6.4998100000000001</v>
      </c>
      <c r="D466">
        <v>15.021000000000001</v>
      </c>
      <c r="E466">
        <v>6.4961700000000002</v>
      </c>
      <c r="G466">
        <v>3.2843399999999998</v>
      </c>
      <c r="H466">
        <v>6.4892899999999996</v>
      </c>
    </row>
    <row r="467" spans="1:8">
      <c r="A467">
        <v>6.0766200000000001</v>
      </c>
      <c r="B467">
        <v>6.7498100000000001</v>
      </c>
      <c r="D467">
        <v>15.432700000000001</v>
      </c>
      <c r="E467">
        <v>6.7461700000000002</v>
      </c>
      <c r="G467">
        <v>3.1514700000000002</v>
      </c>
      <c r="H467">
        <v>6.7392899999999996</v>
      </c>
    </row>
    <row r="468" spans="1:8">
      <c r="A468">
        <v>6.3120599999999998</v>
      </c>
      <c r="B468">
        <v>6.9998100000000001</v>
      </c>
      <c r="D468">
        <v>15.832000000000001</v>
      </c>
      <c r="E468">
        <v>6.9961700000000002</v>
      </c>
      <c r="G468">
        <v>3.0403799999999999</v>
      </c>
      <c r="H468">
        <v>6.9892899999999996</v>
      </c>
    </row>
    <row r="469" spans="1:8">
      <c r="A469">
        <v>6.5472700000000001</v>
      </c>
      <c r="B469">
        <v>7.2498100000000001</v>
      </c>
      <c r="D469">
        <v>16.222100000000001</v>
      </c>
      <c r="E469">
        <v>7.2461700000000002</v>
      </c>
      <c r="G469">
        <v>2.94495</v>
      </c>
      <c r="H469">
        <v>7.2392899999999996</v>
      </c>
    </row>
    <row r="470" spans="1:8">
      <c r="A470">
        <v>6.7822800000000001</v>
      </c>
      <c r="B470">
        <v>7.4998100000000001</v>
      </c>
      <c r="D470">
        <v>16.594000000000001</v>
      </c>
      <c r="E470">
        <v>7.4961700000000002</v>
      </c>
      <c r="G470">
        <v>2.8611599999999999</v>
      </c>
      <c r="H470">
        <v>7.4892899999999996</v>
      </c>
    </row>
    <row r="471" spans="1:8">
      <c r="A471">
        <v>7.0171200000000002</v>
      </c>
      <c r="B471">
        <v>7.7498100000000001</v>
      </c>
      <c r="D471">
        <v>16.9451</v>
      </c>
      <c r="E471">
        <v>7.7461700000000002</v>
      </c>
      <c r="G471">
        <v>2.7875800000000002</v>
      </c>
      <c r="H471">
        <v>7.7392899999999996</v>
      </c>
    </row>
    <row r="472" spans="1:8">
      <c r="A472">
        <v>7.2518700000000003</v>
      </c>
      <c r="B472">
        <v>7.9998100000000001</v>
      </c>
      <c r="D472">
        <v>17.285900000000002</v>
      </c>
      <c r="E472">
        <v>7.9961700000000002</v>
      </c>
      <c r="G472">
        <v>2.72383</v>
      </c>
      <c r="H472">
        <v>7.9892899999999996</v>
      </c>
    </row>
    <row r="473" spans="1:8">
      <c r="A473">
        <v>7.4864899999999999</v>
      </c>
      <c r="B473">
        <v>8.2498100000000001</v>
      </c>
      <c r="D473">
        <v>17.622499999999999</v>
      </c>
      <c r="E473">
        <v>8.2461699999999993</v>
      </c>
      <c r="G473">
        <v>2.66648</v>
      </c>
      <c r="H473">
        <v>8.2392900000000004</v>
      </c>
    </row>
    <row r="474" spans="1:8">
      <c r="A474">
        <v>7.7209599999999998</v>
      </c>
      <c r="B474">
        <v>8.4998100000000001</v>
      </c>
      <c r="D474">
        <v>17.955100000000002</v>
      </c>
      <c r="E474">
        <v>8.4961699999999993</v>
      </c>
      <c r="G474">
        <v>2.6160899999999998</v>
      </c>
      <c r="H474">
        <v>8.4892900000000004</v>
      </c>
    </row>
    <row r="475" spans="1:8">
      <c r="A475">
        <v>7.9553000000000003</v>
      </c>
      <c r="B475">
        <v>8.7498100000000001</v>
      </c>
      <c r="D475">
        <v>18.281600000000001</v>
      </c>
      <c r="E475">
        <v>8.7461699999999993</v>
      </c>
      <c r="G475">
        <v>2.5701800000000001</v>
      </c>
      <c r="H475">
        <v>8.7392900000000004</v>
      </c>
    </row>
    <row r="476" spans="1:8">
      <c r="A476">
        <v>8.1895500000000006</v>
      </c>
      <c r="B476">
        <v>8.9998100000000001</v>
      </c>
      <c r="D476">
        <v>18.601600000000001</v>
      </c>
      <c r="E476">
        <v>8.9961699999999993</v>
      </c>
      <c r="G476">
        <v>2.5295100000000001</v>
      </c>
      <c r="H476">
        <v>8.9892900000000004</v>
      </c>
    </row>
    <row r="477" spans="1:8">
      <c r="A477">
        <v>8.4237000000000002</v>
      </c>
      <c r="B477">
        <v>9.2498100000000001</v>
      </c>
      <c r="D477">
        <v>18.914000000000001</v>
      </c>
      <c r="E477">
        <v>9.2461699999999993</v>
      </c>
      <c r="G477">
        <v>2.4924599999999999</v>
      </c>
      <c r="H477">
        <v>9.2392900000000004</v>
      </c>
    </row>
    <row r="478" spans="1:8">
      <c r="A478">
        <v>8.6566600000000005</v>
      </c>
      <c r="B478">
        <v>9.4998100000000001</v>
      </c>
      <c r="D478">
        <v>19.2195</v>
      </c>
      <c r="E478">
        <v>9.4961699999999993</v>
      </c>
      <c r="G478">
        <v>2.4569100000000001</v>
      </c>
      <c r="H478">
        <v>9.4892900000000004</v>
      </c>
    </row>
    <row r="479" spans="1:8">
      <c r="A479">
        <v>8.8597199999999994</v>
      </c>
      <c r="B479">
        <v>9.7498100000000001</v>
      </c>
      <c r="D479">
        <v>19.520199999999999</v>
      </c>
      <c r="E479">
        <v>9.7461699999999993</v>
      </c>
      <c r="G479">
        <v>2.42299</v>
      </c>
      <c r="H479">
        <v>9.7392900000000004</v>
      </c>
    </row>
    <row r="480" spans="1:8">
      <c r="A480">
        <v>8.9316499999999994</v>
      </c>
      <c r="B480">
        <v>9.9998100000000001</v>
      </c>
      <c r="D480">
        <v>19.7088</v>
      </c>
      <c r="E480">
        <v>9.9961699999999993</v>
      </c>
      <c r="G480">
        <v>2.3913600000000002</v>
      </c>
      <c r="H480">
        <v>9.9892900000000004</v>
      </c>
    </row>
    <row r="481" spans="1:8">
      <c r="A481">
        <v>8.9827200000000005</v>
      </c>
      <c r="B481">
        <v>10.2498</v>
      </c>
      <c r="D481">
        <v>19.715499999999999</v>
      </c>
      <c r="E481">
        <v>10.2462</v>
      </c>
      <c r="G481">
        <v>2.3616999999999999</v>
      </c>
      <c r="H481">
        <v>10.2393</v>
      </c>
    </row>
    <row r="482" spans="1:8">
      <c r="A482">
        <v>9.0324500000000008</v>
      </c>
      <c r="B482">
        <v>10.4998</v>
      </c>
      <c r="D482">
        <v>19.700600000000001</v>
      </c>
      <c r="E482">
        <v>10.4962</v>
      </c>
      <c r="G482">
        <v>2.3344299999999998</v>
      </c>
      <c r="H482">
        <v>10.4893</v>
      </c>
    </row>
    <row r="483" spans="1:8">
      <c r="A483">
        <v>9.0802800000000001</v>
      </c>
      <c r="B483">
        <v>10.7498</v>
      </c>
      <c r="D483">
        <v>19.680199999999999</v>
      </c>
      <c r="E483">
        <v>10.7462</v>
      </c>
      <c r="G483">
        <v>2.30904</v>
      </c>
      <c r="H483">
        <v>10.7393</v>
      </c>
    </row>
    <row r="484" spans="1:8">
      <c r="A484">
        <v>9.1253100000000007</v>
      </c>
      <c r="B484">
        <v>10.9998</v>
      </c>
      <c r="D484">
        <v>19.6523</v>
      </c>
      <c r="E484">
        <v>10.9962</v>
      </c>
      <c r="G484">
        <v>2.28417</v>
      </c>
      <c r="H484">
        <v>10.9893</v>
      </c>
    </row>
    <row r="485" spans="1:8">
      <c r="A485">
        <v>9.1657700000000002</v>
      </c>
      <c r="B485">
        <v>11.2498</v>
      </c>
      <c r="D485">
        <v>19.618500000000001</v>
      </c>
      <c r="E485">
        <v>11.2462</v>
      </c>
      <c r="G485">
        <v>2.25915</v>
      </c>
      <c r="H485">
        <v>11.2393</v>
      </c>
    </row>
    <row r="486" spans="1:8">
      <c r="A486">
        <v>9.2035900000000002</v>
      </c>
      <c r="B486">
        <v>11.4998</v>
      </c>
      <c r="D486">
        <v>19.579599999999999</v>
      </c>
      <c r="E486">
        <v>11.4962</v>
      </c>
      <c r="G486">
        <v>2.2349199999999998</v>
      </c>
      <c r="H486">
        <v>11.4893</v>
      </c>
    </row>
    <row r="487" spans="1:8">
      <c r="A487">
        <v>9.2391699999999997</v>
      </c>
      <c r="B487">
        <v>11.7498</v>
      </c>
      <c r="D487">
        <v>19.5365</v>
      </c>
      <c r="E487">
        <v>11.7462</v>
      </c>
      <c r="G487">
        <v>2.2118099999999998</v>
      </c>
      <c r="H487">
        <v>11.7393</v>
      </c>
    </row>
    <row r="488" spans="1:8">
      <c r="A488">
        <v>9.2735800000000008</v>
      </c>
      <c r="B488">
        <v>11.9998</v>
      </c>
      <c r="D488">
        <v>19.487200000000001</v>
      </c>
      <c r="E488">
        <v>11.9962</v>
      </c>
      <c r="G488">
        <v>2.1905700000000001</v>
      </c>
      <c r="H488">
        <v>11.9893</v>
      </c>
    </row>
    <row r="489" spans="1:8">
      <c r="A489">
        <v>9.3070799999999991</v>
      </c>
      <c r="B489">
        <v>12.2498</v>
      </c>
      <c r="D489">
        <v>19.428999999999998</v>
      </c>
      <c r="E489">
        <v>12.2462</v>
      </c>
      <c r="G489">
        <v>2.1705800000000002</v>
      </c>
      <c r="H489">
        <v>12.2393</v>
      </c>
    </row>
    <row r="490" spans="1:8">
      <c r="A490">
        <v>9.33962</v>
      </c>
      <c r="B490">
        <v>12.4998</v>
      </c>
      <c r="D490">
        <v>19.365400000000001</v>
      </c>
      <c r="E490">
        <v>12.4962</v>
      </c>
      <c r="G490">
        <v>2.15123</v>
      </c>
      <c r="H490">
        <v>12.4893</v>
      </c>
    </row>
    <row r="491" spans="1:8">
      <c r="A491">
        <v>9.3712300000000006</v>
      </c>
      <c r="B491">
        <v>12.7498</v>
      </c>
      <c r="D491">
        <v>19.2974</v>
      </c>
      <c r="E491">
        <v>12.7462</v>
      </c>
      <c r="G491">
        <v>2.1330200000000001</v>
      </c>
      <c r="H491">
        <v>12.7393</v>
      </c>
    </row>
    <row r="492" spans="1:8">
      <c r="A492">
        <v>9.40198</v>
      </c>
      <c r="B492">
        <v>12.9998</v>
      </c>
      <c r="D492">
        <v>19.226800000000001</v>
      </c>
      <c r="E492">
        <v>12.9962</v>
      </c>
      <c r="G492">
        <v>2.1156199999999998</v>
      </c>
      <c r="H492">
        <v>12.9893</v>
      </c>
    </row>
    <row r="493" spans="1:8">
      <c r="A493">
        <v>9.4305000000000003</v>
      </c>
      <c r="B493">
        <v>13.2498</v>
      </c>
      <c r="D493">
        <v>19.158200000000001</v>
      </c>
      <c r="E493">
        <v>13.2462</v>
      </c>
      <c r="G493">
        <v>2.0992199999999999</v>
      </c>
      <c r="H493">
        <v>13.2393</v>
      </c>
    </row>
    <row r="494" spans="1:8">
      <c r="A494">
        <v>9.4552399999999999</v>
      </c>
      <c r="B494">
        <v>13.4998</v>
      </c>
      <c r="D494">
        <v>19.088999999999999</v>
      </c>
      <c r="E494">
        <v>13.4962</v>
      </c>
      <c r="G494">
        <v>2.0840800000000002</v>
      </c>
      <c r="H494">
        <v>13.4893</v>
      </c>
    </row>
    <row r="495" spans="1:8">
      <c r="A495">
        <v>9.4682399999999998</v>
      </c>
      <c r="B495">
        <v>13.7498</v>
      </c>
      <c r="D495">
        <v>19.020600000000002</v>
      </c>
      <c r="E495">
        <v>13.7462</v>
      </c>
      <c r="G495">
        <v>2.0694499999999998</v>
      </c>
      <c r="H495">
        <v>13.7393</v>
      </c>
    </row>
    <row r="496" spans="1:8">
      <c r="A496">
        <v>9.4799600000000002</v>
      </c>
      <c r="B496">
        <v>13.9998</v>
      </c>
      <c r="D496">
        <v>18.950900000000001</v>
      </c>
      <c r="E496">
        <v>13.9962</v>
      </c>
      <c r="G496">
        <v>2.05511</v>
      </c>
      <c r="H496">
        <v>13.9893</v>
      </c>
    </row>
    <row r="497" spans="1:8">
      <c r="A497">
        <v>9.4912100000000006</v>
      </c>
      <c r="B497">
        <v>14.2498</v>
      </c>
      <c r="D497">
        <v>18.8828</v>
      </c>
      <c r="E497">
        <v>14.2462</v>
      </c>
      <c r="G497">
        <v>2.0413399999999999</v>
      </c>
      <c r="H497">
        <v>14.2393</v>
      </c>
    </row>
    <row r="498" spans="1:8">
      <c r="A498">
        <v>9.5008400000000002</v>
      </c>
      <c r="B498">
        <v>14.4998</v>
      </c>
      <c r="D498">
        <v>18.8126</v>
      </c>
      <c r="E498">
        <v>14.4962</v>
      </c>
      <c r="G498">
        <v>2.0287199999999999</v>
      </c>
      <c r="H498">
        <v>14.4893</v>
      </c>
    </row>
    <row r="499" spans="1:8">
      <c r="A499">
        <v>9.5096000000000007</v>
      </c>
      <c r="B499">
        <v>14.7498</v>
      </c>
      <c r="D499">
        <v>18.742799999999999</v>
      </c>
      <c r="E499">
        <v>14.7462</v>
      </c>
      <c r="G499">
        <v>2.0174500000000002</v>
      </c>
      <c r="H499">
        <v>14.7393</v>
      </c>
    </row>
    <row r="500" spans="1:8">
      <c r="A500">
        <v>9.5178899999999995</v>
      </c>
      <c r="B500">
        <v>14.9998</v>
      </c>
      <c r="D500">
        <v>18.672899999999998</v>
      </c>
      <c r="E500">
        <v>14.9962</v>
      </c>
      <c r="G500">
        <v>2.00657</v>
      </c>
      <c r="H500">
        <v>14.9893</v>
      </c>
    </row>
    <row r="501" spans="1:8">
      <c r="A501">
        <v>9.2368299999999994</v>
      </c>
      <c r="B501">
        <v>14.6998</v>
      </c>
      <c r="D501">
        <v>18.308399999999999</v>
      </c>
      <c r="E501">
        <v>14.696199999999999</v>
      </c>
      <c r="G501">
        <v>1.6353</v>
      </c>
      <c r="H501">
        <v>14.689299999999999</v>
      </c>
    </row>
    <row r="502" spans="1:8">
      <c r="A502">
        <v>8.9557500000000001</v>
      </c>
      <c r="B502">
        <v>14.399800000000001</v>
      </c>
      <c r="D502">
        <v>17.940300000000001</v>
      </c>
      <c r="E502">
        <v>14.3962</v>
      </c>
      <c r="G502">
        <v>1.27155</v>
      </c>
      <c r="H502">
        <v>14.3893</v>
      </c>
    </row>
    <row r="503" spans="1:8">
      <c r="A503">
        <v>8.6746400000000001</v>
      </c>
      <c r="B503">
        <v>14.0998</v>
      </c>
      <c r="D503">
        <v>17.5684</v>
      </c>
      <c r="E503">
        <v>14.0962</v>
      </c>
      <c r="G503">
        <v>0.90888899999999995</v>
      </c>
      <c r="H503">
        <v>14.0893</v>
      </c>
    </row>
    <row r="504" spans="1:8">
      <c r="A504">
        <v>8.3935999999999993</v>
      </c>
      <c r="B504">
        <v>13.799799999999999</v>
      </c>
      <c r="D504">
        <v>17.194600000000001</v>
      </c>
      <c r="E504">
        <v>13.796200000000001</v>
      </c>
      <c r="G504">
        <v>0.55009699999999995</v>
      </c>
      <c r="H504">
        <v>13.789300000000001</v>
      </c>
    </row>
    <row r="505" spans="1:8">
      <c r="A505">
        <v>8.1125100000000003</v>
      </c>
      <c r="B505">
        <v>13.4998</v>
      </c>
      <c r="D505">
        <v>16.8169</v>
      </c>
      <c r="E505">
        <v>13.4962</v>
      </c>
      <c r="G505">
        <v>0.204905</v>
      </c>
      <c r="H505">
        <v>13.4893</v>
      </c>
    </row>
    <row r="506" spans="1:8">
      <c r="A506">
        <v>7.8312900000000001</v>
      </c>
      <c r="B506">
        <v>13.1998</v>
      </c>
      <c r="D506">
        <v>16.430599999999998</v>
      </c>
      <c r="E506">
        <v>13.196199999999999</v>
      </c>
      <c r="G506">
        <v>-0.12859400000000001</v>
      </c>
      <c r="H506">
        <v>13.189299999999999</v>
      </c>
    </row>
    <row r="507" spans="1:8">
      <c r="A507">
        <v>7.5498900000000004</v>
      </c>
      <c r="B507">
        <v>12.899800000000001</v>
      </c>
      <c r="D507">
        <v>16.0379</v>
      </c>
      <c r="E507">
        <v>12.8962</v>
      </c>
      <c r="G507">
        <v>-0.46016400000000002</v>
      </c>
      <c r="H507">
        <v>12.8893</v>
      </c>
    </row>
    <row r="508" spans="1:8">
      <c r="A508">
        <v>7.2683099999999996</v>
      </c>
      <c r="B508">
        <v>12.5998</v>
      </c>
      <c r="D508">
        <v>15.6404</v>
      </c>
      <c r="E508">
        <v>12.5962</v>
      </c>
      <c r="G508">
        <v>-0.79000499999999996</v>
      </c>
      <c r="H508">
        <v>12.5893</v>
      </c>
    </row>
    <row r="509" spans="1:8">
      <c r="A509">
        <v>6.98658</v>
      </c>
      <c r="B509">
        <v>12.299799999999999</v>
      </c>
      <c r="D509">
        <v>15.234500000000001</v>
      </c>
      <c r="E509">
        <v>12.296200000000001</v>
      </c>
      <c r="G509">
        <v>-1.1128899999999999</v>
      </c>
      <c r="H509">
        <v>12.289300000000001</v>
      </c>
    </row>
    <row r="510" spans="1:8">
      <c r="A510">
        <v>6.70472</v>
      </c>
      <c r="B510">
        <v>11.9998</v>
      </c>
      <c r="D510">
        <v>14.8223</v>
      </c>
      <c r="E510">
        <v>11.9962</v>
      </c>
      <c r="G510">
        <v>-1.4136200000000001</v>
      </c>
      <c r="H510">
        <v>11.9893</v>
      </c>
    </row>
    <row r="511" spans="1:8">
      <c r="A511">
        <v>6.42265</v>
      </c>
      <c r="B511">
        <v>11.6998</v>
      </c>
      <c r="D511">
        <v>14.400700000000001</v>
      </c>
      <c r="E511">
        <v>11.696199999999999</v>
      </c>
      <c r="G511">
        <v>-1.7016899999999999</v>
      </c>
      <c r="H511">
        <v>11.689299999999999</v>
      </c>
    </row>
    <row r="512" spans="1:8">
      <c r="A512">
        <v>6.14046</v>
      </c>
      <c r="B512">
        <v>11.399800000000001</v>
      </c>
      <c r="D512">
        <v>13.9665</v>
      </c>
      <c r="E512">
        <v>11.3962</v>
      </c>
      <c r="G512">
        <v>-1.9736800000000001</v>
      </c>
      <c r="H512">
        <v>11.3893</v>
      </c>
    </row>
    <row r="513" spans="1:8">
      <c r="A513">
        <v>5.8579999999999997</v>
      </c>
      <c r="B513">
        <v>11.0998</v>
      </c>
      <c r="D513">
        <v>13.520200000000001</v>
      </c>
      <c r="E513">
        <v>11.0962</v>
      </c>
      <c r="G513">
        <v>-2.21983</v>
      </c>
      <c r="H513">
        <v>11.0893</v>
      </c>
    </row>
    <row r="514" spans="1:8">
      <c r="A514">
        <v>5.5752300000000004</v>
      </c>
      <c r="B514">
        <v>10.799799999999999</v>
      </c>
      <c r="D514">
        <v>13.063700000000001</v>
      </c>
      <c r="E514">
        <v>10.796200000000001</v>
      </c>
      <c r="G514">
        <v>-2.4602200000000001</v>
      </c>
      <c r="H514">
        <v>10.789300000000001</v>
      </c>
    </row>
    <row r="515" spans="1:8">
      <c r="A515">
        <v>5.2919499999999999</v>
      </c>
      <c r="B515">
        <v>10.4998</v>
      </c>
      <c r="D515">
        <v>12.591699999999999</v>
      </c>
      <c r="E515">
        <v>10.4962</v>
      </c>
      <c r="G515">
        <v>-2.6598700000000002</v>
      </c>
      <c r="H515">
        <v>10.4893</v>
      </c>
    </row>
    <row r="516" spans="1:8">
      <c r="A516">
        <v>5.0080499999999999</v>
      </c>
      <c r="B516">
        <v>10.1998</v>
      </c>
      <c r="D516">
        <v>12.1104</v>
      </c>
      <c r="E516">
        <v>10.196199999999999</v>
      </c>
      <c r="G516">
        <v>-2.6808100000000001</v>
      </c>
      <c r="H516">
        <v>10.189299999999999</v>
      </c>
    </row>
    <row r="517" spans="1:8">
      <c r="A517">
        <v>4.7233999999999998</v>
      </c>
      <c r="B517">
        <v>9.8998100000000004</v>
      </c>
      <c r="D517">
        <v>11.616199999999999</v>
      </c>
      <c r="E517">
        <v>9.8961699999999997</v>
      </c>
      <c r="G517">
        <v>-2.5634199999999998</v>
      </c>
      <c r="H517">
        <v>9.8892900000000008</v>
      </c>
    </row>
    <row r="518" spans="1:8">
      <c r="A518">
        <v>4.4380300000000004</v>
      </c>
      <c r="B518">
        <v>9.5998099999999997</v>
      </c>
      <c r="D518">
        <v>11.112399999999999</v>
      </c>
      <c r="E518">
        <v>9.5961700000000008</v>
      </c>
      <c r="G518">
        <v>-2.44381</v>
      </c>
      <c r="H518">
        <v>9.5892900000000001</v>
      </c>
    </row>
    <row r="519" spans="1:8">
      <c r="A519">
        <v>4.1517099999999996</v>
      </c>
      <c r="B519">
        <v>9.2998100000000008</v>
      </c>
      <c r="D519">
        <v>10.599500000000001</v>
      </c>
      <c r="E519">
        <v>9.29617</v>
      </c>
      <c r="G519">
        <v>-2.3670300000000002</v>
      </c>
      <c r="H519">
        <v>9.2892899999999994</v>
      </c>
    </row>
    <row r="520" spans="1:8">
      <c r="A520">
        <v>3.86409</v>
      </c>
      <c r="B520">
        <v>8.9998100000000001</v>
      </c>
      <c r="D520">
        <v>10.0787</v>
      </c>
      <c r="E520">
        <v>8.9961699999999993</v>
      </c>
      <c r="G520">
        <v>-2.3348</v>
      </c>
      <c r="H520">
        <v>8.9892900000000004</v>
      </c>
    </row>
    <row r="521" spans="1:8">
      <c r="A521">
        <v>3.5747200000000001</v>
      </c>
      <c r="B521">
        <v>8.6998099999999994</v>
      </c>
      <c r="D521">
        <v>9.5517099999999999</v>
      </c>
      <c r="E521">
        <v>8.6961700000000004</v>
      </c>
      <c r="G521">
        <v>-2.3448199999999999</v>
      </c>
      <c r="H521">
        <v>8.6892899999999997</v>
      </c>
    </row>
    <row r="522" spans="1:8">
      <c r="A522">
        <v>3.2833700000000001</v>
      </c>
      <c r="B522">
        <v>8.3998100000000004</v>
      </c>
      <c r="D522">
        <v>9.0103500000000007</v>
      </c>
      <c r="E522">
        <v>8.3961699999999997</v>
      </c>
      <c r="G522">
        <v>-2.3717000000000001</v>
      </c>
      <c r="H522">
        <v>8.3892900000000008</v>
      </c>
    </row>
    <row r="523" spans="1:8">
      <c r="A523">
        <v>2.98855</v>
      </c>
      <c r="B523">
        <v>8.0998099999999997</v>
      </c>
      <c r="D523">
        <v>8.4621300000000002</v>
      </c>
      <c r="E523">
        <v>8.0961700000000008</v>
      </c>
      <c r="G523">
        <v>-2.3982299999999999</v>
      </c>
      <c r="H523">
        <v>8.0892900000000001</v>
      </c>
    </row>
    <row r="524" spans="1:8">
      <c r="A524">
        <v>2.6893600000000002</v>
      </c>
      <c r="B524">
        <v>7.7998099999999999</v>
      </c>
      <c r="D524">
        <v>7.9089799999999997</v>
      </c>
      <c r="E524">
        <v>7.79617</v>
      </c>
      <c r="G524">
        <v>-2.4192999999999998</v>
      </c>
      <c r="H524">
        <v>7.7892900000000003</v>
      </c>
    </row>
    <row r="525" spans="1:8">
      <c r="A525">
        <v>2.3855599999999999</v>
      </c>
      <c r="B525">
        <v>7.4998100000000001</v>
      </c>
      <c r="D525">
        <v>7.3494400000000004</v>
      </c>
      <c r="E525">
        <v>7.4961700000000002</v>
      </c>
      <c r="G525">
        <v>-2.4369200000000002</v>
      </c>
      <c r="H525">
        <v>7.4892899999999996</v>
      </c>
    </row>
    <row r="526" spans="1:8">
      <c r="A526">
        <v>2.0748500000000001</v>
      </c>
      <c r="B526">
        <v>7.1998100000000003</v>
      </c>
      <c r="D526">
        <v>6.7869299999999999</v>
      </c>
      <c r="E526">
        <v>7.1961700000000004</v>
      </c>
      <c r="G526">
        <v>-2.4533</v>
      </c>
      <c r="H526">
        <v>7.1892899999999997</v>
      </c>
    </row>
    <row r="527" spans="1:8">
      <c r="A527">
        <v>1.7544900000000001</v>
      </c>
      <c r="B527">
        <v>6.8998100000000004</v>
      </c>
      <c r="D527">
        <v>6.2231500000000004</v>
      </c>
      <c r="E527">
        <v>6.8961699999999997</v>
      </c>
      <c r="G527">
        <v>-2.4684499999999998</v>
      </c>
      <c r="H527">
        <v>6.8892899999999999</v>
      </c>
    </row>
    <row r="528" spans="1:8">
      <c r="A528">
        <v>1.43038</v>
      </c>
      <c r="B528">
        <v>6.5998099999999997</v>
      </c>
      <c r="D528">
        <v>5.6532200000000001</v>
      </c>
      <c r="E528">
        <v>6.5961699999999999</v>
      </c>
      <c r="G528">
        <v>-2.48251</v>
      </c>
      <c r="H528">
        <v>6.5892900000000001</v>
      </c>
    </row>
    <row r="529" spans="1:8">
      <c r="A529">
        <v>1.09975</v>
      </c>
      <c r="B529">
        <v>6.2998099999999999</v>
      </c>
      <c r="D529">
        <v>5.0922299999999998</v>
      </c>
      <c r="E529">
        <v>6.29617</v>
      </c>
      <c r="G529">
        <v>-2.49593</v>
      </c>
      <c r="H529">
        <v>6.2892900000000003</v>
      </c>
    </row>
    <row r="530" spans="1:8">
      <c r="A530">
        <v>0.73492800000000003</v>
      </c>
      <c r="B530">
        <v>5.9998100000000001</v>
      </c>
      <c r="D530">
        <v>4.5342799999999999</v>
      </c>
      <c r="E530">
        <v>5.9961700000000002</v>
      </c>
      <c r="G530">
        <v>-2.5093399999999999</v>
      </c>
      <c r="H530">
        <v>5.9892899999999996</v>
      </c>
    </row>
    <row r="531" spans="1:8">
      <c r="A531">
        <v>0.34202399999999999</v>
      </c>
      <c r="B531">
        <v>5.6998100000000003</v>
      </c>
      <c r="D531">
        <v>3.9694099999999999</v>
      </c>
      <c r="E531">
        <v>5.6961700000000004</v>
      </c>
      <c r="G531">
        <v>-2.5222199999999999</v>
      </c>
      <c r="H531">
        <v>5.6892899999999997</v>
      </c>
    </row>
    <row r="532" spans="1:8">
      <c r="A532">
        <v>-4.5517299999999997E-2</v>
      </c>
      <c r="B532">
        <v>5.3998100000000004</v>
      </c>
      <c r="D532">
        <v>3.4076200000000001</v>
      </c>
      <c r="E532">
        <v>5.3961699999999997</v>
      </c>
      <c r="G532">
        <v>-2.5344099999999998</v>
      </c>
      <c r="H532">
        <v>5.3892899999999999</v>
      </c>
    </row>
    <row r="533" spans="1:8">
      <c r="A533">
        <v>-0.391683</v>
      </c>
      <c r="B533">
        <v>5.0998099999999997</v>
      </c>
      <c r="D533">
        <v>2.86544</v>
      </c>
      <c r="E533">
        <v>5.0961699999999999</v>
      </c>
      <c r="G533">
        <v>-2.5464799999999999</v>
      </c>
      <c r="H533">
        <v>5.0892900000000001</v>
      </c>
    </row>
    <row r="534" spans="1:8">
      <c r="A534">
        <v>-0.62172499999999997</v>
      </c>
      <c r="B534">
        <v>4.7998099999999999</v>
      </c>
      <c r="D534">
        <v>2.3391099999999998</v>
      </c>
      <c r="E534">
        <v>4.79617</v>
      </c>
      <c r="G534">
        <v>-2.5580500000000002</v>
      </c>
      <c r="H534">
        <v>4.7892900000000003</v>
      </c>
    </row>
    <row r="535" spans="1:8">
      <c r="A535">
        <v>-0.82686999999999999</v>
      </c>
      <c r="B535">
        <v>4.4998100000000001</v>
      </c>
      <c r="D535">
        <v>1.8195600000000001</v>
      </c>
      <c r="E535">
        <v>4.4961700000000002</v>
      </c>
      <c r="G535">
        <v>-2.56914</v>
      </c>
      <c r="H535">
        <v>4.4892899999999996</v>
      </c>
    </row>
    <row r="536" spans="1:8">
      <c r="A536">
        <v>-1.0203199999999999</v>
      </c>
      <c r="B536">
        <v>4.1998100000000003</v>
      </c>
      <c r="D536">
        <v>1.29461</v>
      </c>
      <c r="E536">
        <v>4.1961700000000004</v>
      </c>
      <c r="G536">
        <v>-2.5807699999999998</v>
      </c>
      <c r="H536">
        <v>4.1892899999999997</v>
      </c>
    </row>
    <row r="537" spans="1:8">
      <c r="A537">
        <v>-1.2033700000000001</v>
      </c>
      <c r="B537">
        <v>3.89981</v>
      </c>
      <c r="D537">
        <v>0.77266199999999996</v>
      </c>
      <c r="E537">
        <v>3.8961700000000001</v>
      </c>
      <c r="G537">
        <v>-2.5925799999999999</v>
      </c>
      <c r="H537">
        <v>3.8892899999999999</v>
      </c>
    </row>
    <row r="538" spans="1:8">
      <c r="A538">
        <v>-1.3798699999999999</v>
      </c>
      <c r="B538">
        <v>3.5998100000000002</v>
      </c>
      <c r="D538">
        <v>0.25655099999999997</v>
      </c>
      <c r="E538">
        <v>3.5961699999999999</v>
      </c>
      <c r="G538">
        <v>-2.6046399999999998</v>
      </c>
      <c r="H538">
        <v>3.5892900000000001</v>
      </c>
    </row>
    <row r="539" spans="1:8">
      <c r="A539">
        <v>-1.5510900000000001</v>
      </c>
      <c r="B539">
        <v>3.2998099999999999</v>
      </c>
      <c r="D539">
        <v>-0.27291199999999999</v>
      </c>
      <c r="E539">
        <v>3.29617</v>
      </c>
      <c r="G539">
        <v>-2.6156700000000002</v>
      </c>
      <c r="H539">
        <v>3.2892899999999998</v>
      </c>
    </row>
    <row r="540" spans="1:8">
      <c r="A540">
        <v>-1.7181</v>
      </c>
      <c r="B540">
        <v>2.9998100000000001</v>
      </c>
      <c r="D540">
        <v>-0.81698099999999996</v>
      </c>
      <c r="E540">
        <v>2.9961700000000002</v>
      </c>
      <c r="G540">
        <v>-2.62649</v>
      </c>
      <c r="H540">
        <v>2.98929</v>
      </c>
    </row>
    <row r="541" spans="1:8">
      <c r="A541">
        <v>-1.88232</v>
      </c>
      <c r="B541">
        <v>2.6998099999999998</v>
      </c>
      <c r="D541">
        <v>-1.35792</v>
      </c>
      <c r="E541">
        <v>2.69617</v>
      </c>
      <c r="G541">
        <v>-2.63687</v>
      </c>
      <c r="H541">
        <v>2.6892900000000002</v>
      </c>
    </row>
    <row r="542" spans="1:8">
      <c r="A542">
        <v>-2.0445700000000002</v>
      </c>
      <c r="B542">
        <v>2.39981</v>
      </c>
      <c r="D542">
        <v>-1.9275500000000001</v>
      </c>
      <c r="E542">
        <v>2.3961700000000001</v>
      </c>
      <c r="G542">
        <v>-2.6451899999999999</v>
      </c>
      <c r="H542">
        <v>2.3892899999999999</v>
      </c>
    </row>
    <row r="543" spans="1:8">
      <c r="A543">
        <v>-2.2053799999999999</v>
      </c>
      <c r="B543">
        <v>2.0998100000000002</v>
      </c>
      <c r="D543">
        <v>-2.5068100000000002</v>
      </c>
      <c r="E543">
        <v>2.0961699999999999</v>
      </c>
      <c r="G543">
        <v>-2.6530100000000001</v>
      </c>
      <c r="H543">
        <v>2.0892900000000001</v>
      </c>
    </row>
    <row r="544" spans="1:8">
      <c r="A544">
        <v>-2.3650099999999998</v>
      </c>
      <c r="B544">
        <v>1.7998099999999999</v>
      </c>
      <c r="D544">
        <v>-3.0779000000000001</v>
      </c>
      <c r="E544">
        <v>1.79617</v>
      </c>
      <c r="G544">
        <v>-2.6593499999999999</v>
      </c>
      <c r="H544">
        <v>1.78929</v>
      </c>
    </row>
    <row r="545" spans="1:8">
      <c r="A545">
        <v>-2.5235799999999999</v>
      </c>
      <c r="B545">
        <v>1.4998100000000001</v>
      </c>
      <c r="D545">
        <v>-3.66737</v>
      </c>
      <c r="E545">
        <v>1.49617</v>
      </c>
      <c r="G545">
        <v>-2.6620699999999999</v>
      </c>
      <c r="H545">
        <v>1.48929</v>
      </c>
    </row>
    <row r="546" spans="1:8">
      <c r="A546">
        <v>-2.6808100000000001</v>
      </c>
      <c r="B546">
        <v>1.19981</v>
      </c>
      <c r="D546">
        <v>-4.2600300000000004</v>
      </c>
      <c r="E546">
        <v>1.19617</v>
      </c>
      <c r="G546">
        <v>-2.6631300000000002</v>
      </c>
      <c r="H546">
        <v>1.18929</v>
      </c>
    </row>
    <row r="547" spans="1:8">
      <c r="A547">
        <v>-2.8317999999999999</v>
      </c>
      <c r="B547">
        <v>0.89981199999999995</v>
      </c>
      <c r="D547">
        <v>-4.8625999999999996</v>
      </c>
      <c r="E547">
        <v>0.89616700000000005</v>
      </c>
      <c r="G547">
        <v>-2.6606200000000002</v>
      </c>
      <c r="H547">
        <v>0.88929199999999997</v>
      </c>
    </row>
    <row r="548" spans="1:8">
      <c r="A548">
        <v>-2.9773299999999998</v>
      </c>
      <c r="B548">
        <v>0.59981200000000001</v>
      </c>
      <c r="D548">
        <v>-5.4407899999999998</v>
      </c>
      <c r="E548">
        <v>0.596167</v>
      </c>
      <c r="G548">
        <v>-2.6564000000000001</v>
      </c>
      <c r="H548">
        <v>0.58929200000000004</v>
      </c>
    </row>
    <row r="549" spans="1:8">
      <c r="A549">
        <v>-3.12174</v>
      </c>
      <c r="B549">
        <v>0.29981200000000002</v>
      </c>
      <c r="D549">
        <v>-6.04739</v>
      </c>
      <c r="E549">
        <v>0.29616700000000001</v>
      </c>
      <c r="G549">
        <v>-2.6476500000000001</v>
      </c>
      <c r="H549">
        <v>0.28929199999999999</v>
      </c>
    </row>
    <row r="550" spans="1:8">
      <c r="A550">
        <v>-3.23766</v>
      </c>
      <c r="B550">
        <v>-1.8810300000000001E-4</v>
      </c>
      <c r="D550">
        <f>-6.66215</f>
        <v>-6.6621499999999996</v>
      </c>
      <c r="E550">
        <v>-3.83271E-3</v>
      </c>
      <c r="G550">
        <v>-2.6372800000000001</v>
      </c>
      <c r="H550">
        <v>-1.0707599999999999E-2</v>
      </c>
    </row>
    <row r="551" spans="1:8">
      <c r="A551">
        <v>-3.3294100000000002</v>
      </c>
      <c r="B551">
        <v>-0.30018800000000001</v>
      </c>
      <c r="D551">
        <f>-7.26359</f>
        <v>-7.2635899999999998</v>
      </c>
      <c r="E551">
        <v>-0.30383300000000002</v>
      </c>
      <c r="G551">
        <v>-2.62486</v>
      </c>
      <c r="H551">
        <v>-0.31070799999999998</v>
      </c>
    </row>
    <row r="552" spans="1:8">
      <c r="A552">
        <v>-3.4211</v>
      </c>
      <c r="B552">
        <v>-0.60018800000000005</v>
      </c>
      <c r="D552">
        <f>-7.87204</f>
        <v>-7.8720400000000001</v>
      </c>
      <c r="E552">
        <v>-0.60383299999999995</v>
      </c>
      <c r="G552">
        <v>-2.6000700000000001</v>
      </c>
      <c r="H552">
        <v>-0.61070800000000003</v>
      </c>
    </row>
    <row r="553" spans="1:8">
      <c r="A553">
        <v>-3.5093000000000001</v>
      </c>
      <c r="B553">
        <v>-0.90018799999999999</v>
      </c>
      <c r="D553">
        <f>-8.47438</f>
        <v>-8.47438</v>
      </c>
      <c r="E553">
        <v>-0.903833</v>
      </c>
      <c r="G553">
        <v>-2.5516200000000002</v>
      </c>
      <c r="H553">
        <v>-0.91070799999999996</v>
      </c>
    </row>
    <row r="554" spans="1:8">
      <c r="A554">
        <v>-3.5891199999999999</v>
      </c>
      <c r="B554">
        <v>-1.2001900000000001</v>
      </c>
      <c r="D554">
        <f>-9.07269</f>
        <v>-9.0726899999999997</v>
      </c>
      <c r="E554">
        <v>-1.20383</v>
      </c>
      <c r="G554">
        <v>-2.4613299999999998</v>
      </c>
      <c r="H554">
        <v>-1.21071</v>
      </c>
    </row>
    <row r="555" spans="1:8">
      <c r="A555">
        <v>-3.6586599999999998</v>
      </c>
      <c r="B555">
        <v>-1.5001899999999999</v>
      </c>
      <c r="D555">
        <f>-9.67223</f>
        <v>-9.6722300000000008</v>
      </c>
      <c r="E555">
        <v>-1.50383</v>
      </c>
      <c r="G555">
        <v>-2.37168</v>
      </c>
      <c r="H555">
        <v>-1.51071</v>
      </c>
    </row>
    <row r="556" spans="1:8">
      <c r="A556">
        <v>-3.7274699999999998</v>
      </c>
      <c r="B556">
        <v>-1.80019</v>
      </c>
      <c r="D556">
        <f>-10.2434</f>
        <v>-10.243399999999999</v>
      </c>
      <c r="E556">
        <v>-1.80383</v>
      </c>
      <c r="G556">
        <v>-2.31284</v>
      </c>
      <c r="H556">
        <v>-1.81071</v>
      </c>
    </row>
    <row r="557" spans="1:8">
      <c r="A557">
        <v>-3.7962600000000002</v>
      </c>
      <c r="B557">
        <v>-2.10019</v>
      </c>
      <c r="D557">
        <f>-10.7904</f>
        <v>-10.7904</v>
      </c>
      <c r="E557">
        <v>-2.1038299999999999</v>
      </c>
      <c r="G557">
        <v>-2.2761499999999999</v>
      </c>
      <c r="H557">
        <v>-2.1107100000000001</v>
      </c>
    </row>
    <row r="558" spans="1:8">
      <c r="A558">
        <v>-3.86503</v>
      </c>
      <c r="B558">
        <v>-2.4001899999999998</v>
      </c>
      <c r="D558">
        <f>-11.323</f>
        <v>-11.323</v>
      </c>
      <c r="E558">
        <v>-2.4038300000000001</v>
      </c>
      <c r="G558">
        <v>-2.2543299999999999</v>
      </c>
      <c r="H558">
        <v>-2.4107099999999999</v>
      </c>
    </row>
    <row r="559" spans="1:8">
      <c r="A559">
        <v>-3.9337900000000001</v>
      </c>
      <c r="B559">
        <v>-2.7001900000000001</v>
      </c>
      <c r="D559">
        <f>-11.8304</f>
        <v>-11.830399999999999</v>
      </c>
      <c r="E559">
        <v>-2.70383</v>
      </c>
      <c r="G559">
        <v>-2.2400600000000002</v>
      </c>
      <c r="H559">
        <v>-2.7107100000000002</v>
      </c>
    </row>
    <row r="560" spans="1:8">
      <c r="A560">
        <v>-4.0025399999999998</v>
      </c>
      <c r="B560">
        <v>-3.0001899999999999</v>
      </c>
      <c r="D560">
        <f>-12.3111</f>
        <v>-12.3111</v>
      </c>
      <c r="E560">
        <v>-3.0038299999999998</v>
      </c>
      <c r="G560">
        <v>-2.2320500000000001</v>
      </c>
      <c r="H560">
        <v>-3.01071</v>
      </c>
    </row>
    <row r="561" spans="1:8">
      <c r="A561">
        <v>-4.0712700000000002</v>
      </c>
      <c r="B561">
        <v>-3.3001900000000002</v>
      </c>
      <c r="D561">
        <f>-12.7709</f>
        <v>-12.770899999999999</v>
      </c>
      <c r="E561">
        <v>-3.30383</v>
      </c>
      <c r="G561">
        <v>-2.2303799999999998</v>
      </c>
      <c r="H561">
        <v>-3.3107099999999998</v>
      </c>
    </row>
    <row r="562" spans="1:8">
      <c r="A562">
        <v>-4.1207200000000004</v>
      </c>
      <c r="B562">
        <v>-3.60019</v>
      </c>
      <c r="D562">
        <f>-13.2044</f>
        <v>-13.2044</v>
      </c>
      <c r="E562">
        <v>-3.6038299999999999</v>
      </c>
      <c r="G562">
        <v>-2.2341600000000001</v>
      </c>
      <c r="H562">
        <v>-3.6107100000000001</v>
      </c>
    </row>
    <row r="563" spans="1:8">
      <c r="A563">
        <v>-4.1678600000000001</v>
      </c>
      <c r="B563">
        <v>-3.9001899999999998</v>
      </c>
      <c r="D563">
        <f>-13.6132</f>
        <v>-13.613200000000001</v>
      </c>
      <c r="E563">
        <v>-3.9038300000000001</v>
      </c>
      <c r="G563">
        <v>-2.24281</v>
      </c>
      <c r="H563">
        <v>-3.9107099999999999</v>
      </c>
    </row>
    <row r="564" spans="1:8">
      <c r="A564">
        <v>-4.2149999999999999</v>
      </c>
      <c r="B564">
        <v>-4.2001900000000001</v>
      </c>
      <c r="D564">
        <f>-14.0012</f>
        <v>-14.001200000000001</v>
      </c>
      <c r="E564">
        <v>-4.20383</v>
      </c>
      <c r="G564">
        <v>-2.2546499999999998</v>
      </c>
      <c r="H564">
        <v>-4.2107099999999997</v>
      </c>
    </row>
    <row r="565" spans="1:8">
      <c r="A565">
        <v>-4.2621399999999996</v>
      </c>
      <c r="B565">
        <v>-4.5001899999999999</v>
      </c>
      <c r="D565">
        <f>-14.3667</f>
        <v>-14.3667</v>
      </c>
      <c r="E565">
        <v>-4.5038299999999998</v>
      </c>
      <c r="G565">
        <v>-2.2680199999999999</v>
      </c>
      <c r="H565">
        <v>-4.5107100000000004</v>
      </c>
    </row>
    <row r="566" spans="1:8">
      <c r="A566">
        <v>-4.3092699999999997</v>
      </c>
      <c r="B566">
        <v>-4.8001899999999997</v>
      </c>
      <c r="D566">
        <f>-14.708</f>
        <v>-14.708</v>
      </c>
      <c r="E566">
        <v>-4.8038299999999996</v>
      </c>
      <c r="G566">
        <v>-2.2806899999999999</v>
      </c>
      <c r="H566">
        <v>-4.8107100000000003</v>
      </c>
    </row>
    <row r="567" spans="1:8">
      <c r="A567">
        <v>-4.3563999999999998</v>
      </c>
      <c r="B567">
        <v>-5.1001899999999996</v>
      </c>
      <c r="D567">
        <f>-15.0327</f>
        <v>-15.0327</v>
      </c>
      <c r="E567">
        <v>-5.1038300000000003</v>
      </c>
      <c r="G567">
        <v>-2.2936000000000001</v>
      </c>
      <c r="H567">
        <v>-5.1107100000000001</v>
      </c>
    </row>
    <row r="568" spans="1:8">
      <c r="A568">
        <v>-4.41629</v>
      </c>
      <c r="B568">
        <v>-5.4001900000000003</v>
      </c>
      <c r="D568">
        <f>-15.3405</f>
        <v>-15.3405</v>
      </c>
      <c r="E568">
        <v>-5.4038300000000001</v>
      </c>
      <c r="G568">
        <v>-2.3065000000000002</v>
      </c>
      <c r="H568">
        <v>-5.4107099999999999</v>
      </c>
    </row>
    <row r="569" spans="1:8">
      <c r="A569">
        <v>-4.4979800000000001</v>
      </c>
      <c r="B569">
        <v>-5.7001900000000001</v>
      </c>
      <c r="D569">
        <f>-15.6333</f>
        <v>-15.6333</v>
      </c>
      <c r="E569">
        <v>-5.70383</v>
      </c>
      <c r="G569">
        <v>-2.3189000000000002</v>
      </c>
      <c r="H569">
        <v>-5.7107099999999997</v>
      </c>
    </row>
    <row r="570" spans="1:8">
      <c r="A570">
        <v>-4.5892200000000001</v>
      </c>
      <c r="B570">
        <v>-6.0001899999999999</v>
      </c>
      <c r="D570">
        <f>-15.9171</f>
        <v>-15.9171</v>
      </c>
      <c r="E570">
        <v>-6.0038299999999998</v>
      </c>
      <c r="G570">
        <v>-2.3280599999999998</v>
      </c>
      <c r="H570">
        <v>-6.0107100000000004</v>
      </c>
    </row>
    <row r="571" spans="1:8">
      <c r="A571">
        <v>-4.6820700000000004</v>
      </c>
      <c r="B571">
        <v>-6.3001899999999997</v>
      </c>
      <c r="D571">
        <f>-16.165</f>
        <v>-16.164999999999999</v>
      </c>
      <c r="E571">
        <v>-6.3038299999999996</v>
      </c>
      <c r="G571">
        <v>-2.3363700000000001</v>
      </c>
      <c r="H571">
        <v>-6.3107100000000003</v>
      </c>
    </row>
    <row r="572" spans="1:8">
      <c r="A572">
        <v>-4.7517699999999996</v>
      </c>
      <c r="B572">
        <v>-6.6001899999999996</v>
      </c>
      <c r="D572">
        <f>-16.3738</f>
        <v>-16.373799999999999</v>
      </c>
      <c r="E572">
        <v>-6.6038300000000003</v>
      </c>
      <c r="G572">
        <v>-2.3421400000000001</v>
      </c>
      <c r="H572">
        <v>-6.6107100000000001</v>
      </c>
    </row>
    <row r="573" spans="1:8">
      <c r="A573">
        <v>-4.8211000000000004</v>
      </c>
      <c r="B573">
        <v>-6.9001900000000003</v>
      </c>
      <c r="D573">
        <f>-16.5785</f>
        <v>-16.578499999999998</v>
      </c>
      <c r="E573">
        <v>-6.9038300000000001</v>
      </c>
      <c r="G573">
        <v>-2.3475000000000001</v>
      </c>
      <c r="H573">
        <v>-6.9107099999999999</v>
      </c>
    </row>
    <row r="574" spans="1:8">
      <c r="A574">
        <v>-4.9321400000000004</v>
      </c>
      <c r="B574">
        <v>-7.2001900000000001</v>
      </c>
      <c r="D574">
        <f>-16.7749</f>
        <v>-16.774899999999999</v>
      </c>
      <c r="E574">
        <v>-7.20383</v>
      </c>
      <c r="G574">
        <v>-2.3527300000000002</v>
      </c>
      <c r="H574">
        <v>-7.2107099999999997</v>
      </c>
    </row>
    <row r="575" spans="1:8">
      <c r="A575">
        <v>-5.0691699999999997</v>
      </c>
      <c r="B575">
        <v>-7.5001899999999999</v>
      </c>
      <c r="D575">
        <f>-16.9617</f>
        <v>-16.9617</v>
      </c>
      <c r="E575">
        <v>-7.5038299999999998</v>
      </c>
      <c r="G575">
        <v>-2.35785</v>
      </c>
      <c r="H575">
        <v>-7.5107100000000004</v>
      </c>
    </row>
    <row r="576" spans="1:8">
      <c r="A576">
        <v>-5.2120899999999999</v>
      </c>
      <c r="B576">
        <v>-7.8001899999999997</v>
      </c>
      <c r="D576">
        <f>-17.1407</f>
        <v>-17.140699999999999</v>
      </c>
      <c r="E576">
        <v>-7.8038299999999996</v>
      </c>
      <c r="G576">
        <v>-2.3622800000000002</v>
      </c>
      <c r="H576">
        <v>-7.8107100000000003</v>
      </c>
    </row>
    <row r="577" spans="1:8">
      <c r="A577">
        <v>-5.3580399999999999</v>
      </c>
      <c r="B577">
        <v>-8.1001899999999996</v>
      </c>
      <c r="D577">
        <f>-17.3167</f>
        <v>-17.316700000000001</v>
      </c>
      <c r="E577">
        <v>-8.1038300000000003</v>
      </c>
      <c r="G577">
        <v>-2.3652899999999999</v>
      </c>
      <c r="H577">
        <v>-8.1107099999999992</v>
      </c>
    </row>
    <row r="578" spans="1:8">
      <c r="A578">
        <v>-5.5064599999999997</v>
      </c>
      <c r="B578">
        <v>-8.4001900000000003</v>
      </c>
      <c r="D578">
        <f>-17.485</f>
        <v>-17.484999999999999</v>
      </c>
      <c r="E578">
        <v>-8.4038299999999992</v>
      </c>
      <c r="G578">
        <v>-2.3681800000000002</v>
      </c>
      <c r="H578">
        <v>-8.4107099999999999</v>
      </c>
    </row>
    <row r="579" spans="1:8">
      <c r="A579">
        <v>-5.6570999999999998</v>
      </c>
      <c r="B579">
        <v>-8.7001899999999992</v>
      </c>
      <c r="D579">
        <f>-17.6376</f>
        <v>-17.637599999999999</v>
      </c>
      <c r="E579">
        <v>-8.70383</v>
      </c>
      <c r="G579">
        <v>-2.3710100000000001</v>
      </c>
      <c r="H579">
        <v>-8.7107100000000006</v>
      </c>
    </row>
    <row r="580" spans="1:8">
      <c r="A580">
        <v>-5.8065800000000003</v>
      </c>
      <c r="B580">
        <v>-9.0001899999999999</v>
      </c>
      <c r="D580">
        <f>-17.7839</f>
        <v>-17.783899999999999</v>
      </c>
      <c r="E580">
        <v>-9.0038300000000007</v>
      </c>
      <c r="G580">
        <v>-2.3737900000000001</v>
      </c>
      <c r="H580">
        <v>-9.0107099999999996</v>
      </c>
    </row>
    <row r="581" spans="1:8">
      <c r="A581">
        <v>-5.8921900000000003</v>
      </c>
      <c r="B581">
        <v>-9.3001900000000006</v>
      </c>
      <c r="D581">
        <f>-17.9265</f>
        <v>-17.926500000000001</v>
      </c>
      <c r="E581">
        <v>-9.3038299999999996</v>
      </c>
      <c r="G581">
        <v>-2.3765499999999999</v>
      </c>
      <c r="H581">
        <v>-9.3107100000000003</v>
      </c>
    </row>
    <row r="582" spans="1:8">
      <c r="A582">
        <v>-5.9447099999999997</v>
      </c>
      <c r="B582">
        <v>-9.6001899999999996</v>
      </c>
      <c r="D582">
        <f>-18.0661</f>
        <v>-18.066099999999999</v>
      </c>
      <c r="E582">
        <v>-9.6038300000000003</v>
      </c>
      <c r="G582">
        <v>-2.3792800000000001</v>
      </c>
      <c r="H582">
        <v>-9.6107099999999992</v>
      </c>
    </row>
    <row r="583" spans="1:8">
      <c r="A583">
        <v>-5.9943</v>
      </c>
      <c r="B583">
        <v>-9.9001900000000003</v>
      </c>
      <c r="D583">
        <f>-18.1996</f>
        <v>-18.1996</v>
      </c>
      <c r="E583">
        <v>-9.9038299999999992</v>
      </c>
      <c r="G583">
        <v>-2.3818800000000002</v>
      </c>
      <c r="H583">
        <v>-9.9107099999999999</v>
      </c>
    </row>
    <row r="584" spans="1:8">
      <c r="A584">
        <v>-6.0434999999999999</v>
      </c>
      <c r="B584">
        <v>-10.200200000000001</v>
      </c>
      <c r="D584">
        <f>-18.2987</f>
        <v>-18.2987</v>
      </c>
      <c r="E584">
        <v>-10.203799999999999</v>
      </c>
      <c r="G584">
        <v>-2.3843899999999998</v>
      </c>
      <c r="H584">
        <v>-10.210699999999999</v>
      </c>
    </row>
    <row r="585" spans="1:8">
      <c r="A585">
        <v>-6.0866300000000004</v>
      </c>
      <c r="B585">
        <v>-10.5002</v>
      </c>
      <c r="D585">
        <f>-18.3702</f>
        <v>-18.370200000000001</v>
      </c>
      <c r="E585">
        <v>-10.5038</v>
      </c>
      <c r="G585">
        <v>-2.3868800000000001</v>
      </c>
      <c r="H585">
        <v>-10.5107</v>
      </c>
    </row>
    <row r="586" spans="1:8">
      <c r="A586">
        <v>-6.1056100000000004</v>
      </c>
      <c r="B586">
        <v>-10.8002</v>
      </c>
      <c r="D586">
        <f>-18.4276</f>
        <v>-18.427600000000002</v>
      </c>
      <c r="E586">
        <v>-10.803800000000001</v>
      </c>
      <c r="G586">
        <v>-2.3893399999999998</v>
      </c>
      <c r="H586">
        <v>-10.810700000000001</v>
      </c>
    </row>
    <row r="587" spans="1:8">
      <c r="A587">
        <v>-6.1228699999999998</v>
      </c>
      <c r="B587">
        <v>-11.100199999999999</v>
      </c>
      <c r="D587">
        <f>-18.4793</f>
        <v>-18.479299999999999</v>
      </c>
      <c r="E587">
        <v>-11.1038</v>
      </c>
      <c r="G587">
        <v>-2.3917600000000001</v>
      </c>
      <c r="H587">
        <v>-11.1107</v>
      </c>
    </row>
    <row r="588" spans="1:8">
      <c r="A588">
        <v>-6.1376999999999997</v>
      </c>
      <c r="B588">
        <v>-11.4002</v>
      </c>
      <c r="D588">
        <f>-18.527</f>
        <v>-18.527000000000001</v>
      </c>
      <c r="E588">
        <v>-11.4038</v>
      </c>
      <c r="G588">
        <v>-2.39418</v>
      </c>
      <c r="H588">
        <v>-11.4107</v>
      </c>
    </row>
    <row r="589" spans="1:8">
      <c r="A589">
        <v>-6.1525100000000004</v>
      </c>
      <c r="B589">
        <v>-11.700200000000001</v>
      </c>
      <c r="D589">
        <f>-18.571</f>
        <v>-18.571000000000002</v>
      </c>
      <c r="E589">
        <v>-11.703799999999999</v>
      </c>
      <c r="G589">
        <v>-2.3965999999999998</v>
      </c>
      <c r="H589">
        <v>-11.710699999999999</v>
      </c>
    </row>
    <row r="590" spans="1:8">
      <c r="A590">
        <v>-6.1672900000000004</v>
      </c>
      <c r="B590">
        <v>-12.0002</v>
      </c>
      <c r="D590">
        <f>-18.6118</f>
        <v>-18.611799999999999</v>
      </c>
      <c r="E590">
        <v>-12.0038</v>
      </c>
      <c r="G590">
        <v>-2.399</v>
      </c>
      <c r="H590">
        <v>-12.0107</v>
      </c>
    </row>
    <row r="591" spans="1:8">
      <c r="A591">
        <v>-6.18208</v>
      </c>
      <c r="B591">
        <v>-12.3002</v>
      </c>
      <c r="D591">
        <f>-18.6497</f>
        <v>-18.649699999999999</v>
      </c>
      <c r="E591">
        <v>-12.303800000000001</v>
      </c>
      <c r="G591">
        <v>-2.4013900000000001</v>
      </c>
      <c r="H591">
        <v>-12.310700000000001</v>
      </c>
    </row>
    <row r="592" spans="1:8">
      <c r="A592">
        <v>-6.19686</v>
      </c>
      <c r="B592">
        <v>-12.600199999999999</v>
      </c>
      <c r="D592">
        <f>-18.6845</f>
        <v>-18.6845</v>
      </c>
      <c r="E592">
        <v>-12.6038</v>
      </c>
      <c r="G592">
        <v>-2.4037799999999998</v>
      </c>
      <c r="H592">
        <v>-12.6107</v>
      </c>
    </row>
    <row r="593" spans="1:8">
      <c r="A593">
        <v>-6.2116400000000001</v>
      </c>
      <c r="B593">
        <v>-12.9002</v>
      </c>
      <c r="D593">
        <f>-18.7172</f>
        <v>-18.717199999999998</v>
      </c>
      <c r="E593">
        <v>-12.9038</v>
      </c>
      <c r="G593">
        <v>-2.4061599999999999</v>
      </c>
      <c r="H593">
        <v>-12.9107</v>
      </c>
    </row>
    <row r="594" spans="1:8">
      <c r="A594">
        <v>-6.2263900000000003</v>
      </c>
      <c r="B594">
        <v>-13.200200000000001</v>
      </c>
      <c r="D594">
        <f>-18.748</f>
        <v>-18.748000000000001</v>
      </c>
      <c r="E594">
        <v>-13.203799999999999</v>
      </c>
      <c r="G594">
        <v>-2.4085100000000002</v>
      </c>
      <c r="H594">
        <v>-13.210699999999999</v>
      </c>
    </row>
    <row r="595" spans="1:8">
      <c r="A595">
        <v>-6.2411199999999996</v>
      </c>
      <c r="B595">
        <v>-13.5002</v>
      </c>
      <c r="D595">
        <f>-18.7769</f>
        <v>-18.776900000000001</v>
      </c>
      <c r="E595">
        <v>-13.5038</v>
      </c>
      <c r="G595">
        <v>-2.4106999999999998</v>
      </c>
      <c r="H595">
        <v>-13.5107</v>
      </c>
    </row>
    <row r="596" spans="1:8">
      <c r="A596">
        <v>-6.2558199999999999</v>
      </c>
      <c r="B596">
        <v>-13.8002</v>
      </c>
      <c r="D596">
        <f>-18.8029</f>
        <v>-18.802900000000001</v>
      </c>
      <c r="E596">
        <v>-13.803800000000001</v>
      </c>
      <c r="G596">
        <v>-2.41275</v>
      </c>
      <c r="H596">
        <v>-13.810700000000001</v>
      </c>
    </row>
    <row r="597" spans="1:8">
      <c r="A597">
        <v>-6.2704899999999997</v>
      </c>
      <c r="B597">
        <v>-14.100199999999999</v>
      </c>
      <c r="D597">
        <f>-18.8269</f>
        <v>-18.826899999999998</v>
      </c>
      <c r="E597">
        <v>-14.1038</v>
      </c>
      <c r="G597">
        <v>-2.4147799999999999</v>
      </c>
      <c r="H597">
        <v>-14.1107</v>
      </c>
    </row>
    <row r="598" spans="1:8">
      <c r="A598">
        <v>-6.2851400000000002</v>
      </c>
      <c r="B598">
        <v>-14.4002</v>
      </c>
      <c r="D598">
        <f>-18.8479</f>
        <v>-18.847899999999999</v>
      </c>
      <c r="E598">
        <v>-14.4038</v>
      </c>
      <c r="G598">
        <v>-2.4167999999999998</v>
      </c>
      <c r="H598">
        <v>-14.4107</v>
      </c>
    </row>
    <row r="599" spans="1:8">
      <c r="A599">
        <v>-6.29976</v>
      </c>
      <c r="B599">
        <v>-14.700200000000001</v>
      </c>
      <c r="D599">
        <f>-18.8653</f>
        <v>-18.865300000000001</v>
      </c>
      <c r="E599">
        <v>-14.703799999999999</v>
      </c>
      <c r="G599">
        <v>-2.41879</v>
      </c>
      <c r="H599">
        <v>-14.710699999999999</v>
      </c>
    </row>
    <row r="600" spans="1:8">
      <c r="A600">
        <v>-6.3143599999999998</v>
      </c>
      <c r="B600">
        <v>-15.0002</v>
      </c>
      <c r="D600">
        <f>-18.8799</f>
        <v>-18.879899999999999</v>
      </c>
      <c r="E600">
        <v>-15.0038</v>
      </c>
      <c r="G600">
        <v>-2.42075</v>
      </c>
      <c r="H600">
        <v>-15.0107</v>
      </c>
    </row>
    <row r="601" spans="1:8">
      <c r="A601">
        <v>-6.0720299999999998</v>
      </c>
      <c r="B601">
        <v>-14.6502</v>
      </c>
      <c r="D601">
        <f>-18.5653</f>
        <v>-18.565300000000001</v>
      </c>
      <c r="E601">
        <v>-14.6538</v>
      </c>
      <c r="G601">
        <v>-2.1727799999999999</v>
      </c>
      <c r="H601">
        <v>-14.6607</v>
      </c>
    </row>
    <row r="602" spans="1:8">
      <c r="A602">
        <v>-5.8296999999999999</v>
      </c>
      <c r="B602">
        <v>-14.3002</v>
      </c>
      <c r="D602">
        <f>-18.248</f>
        <v>-18.248000000000001</v>
      </c>
      <c r="E602">
        <v>-14.303800000000001</v>
      </c>
      <c r="G602">
        <v>-1.92862</v>
      </c>
      <c r="H602">
        <v>-14.310700000000001</v>
      </c>
    </row>
    <row r="603" spans="1:8">
      <c r="A603">
        <v>-5.5872799999999998</v>
      </c>
      <c r="B603">
        <v>-13.950200000000001</v>
      </c>
      <c r="D603">
        <f>-17.927</f>
        <v>-17.927</v>
      </c>
      <c r="E603">
        <v>-13.953799999999999</v>
      </c>
      <c r="G603">
        <v>-1.6890000000000001</v>
      </c>
      <c r="H603">
        <v>-13.960699999999999</v>
      </c>
    </row>
    <row r="604" spans="1:8">
      <c r="A604">
        <v>-5.3447100000000001</v>
      </c>
      <c r="B604">
        <v>-13.600199999999999</v>
      </c>
      <c r="D604">
        <f>-17.6007</f>
        <v>-17.6007</v>
      </c>
      <c r="E604">
        <v>-13.6038</v>
      </c>
      <c r="G604">
        <v>-1.4508099999999999</v>
      </c>
      <c r="H604">
        <v>-13.6107</v>
      </c>
    </row>
    <row r="605" spans="1:8">
      <c r="A605">
        <v>-5.1022999999999996</v>
      </c>
      <c r="B605">
        <v>-13.2502</v>
      </c>
      <c r="D605">
        <f>-17.2725</f>
        <v>-17.272500000000001</v>
      </c>
      <c r="E605">
        <v>-13.2538</v>
      </c>
      <c r="G605">
        <v>-1.2135</v>
      </c>
      <c r="H605">
        <v>-13.2607</v>
      </c>
    </row>
    <row r="606" spans="1:8">
      <c r="A606">
        <v>-4.8620900000000002</v>
      </c>
      <c r="B606">
        <v>-12.9002</v>
      </c>
      <c r="D606">
        <f>-16.9409</f>
        <v>-16.940899999999999</v>
      </c>
      <c r="E606">
        <v>-12.9038</v>
      </c>
      <c r="G606">
        <v>-0.97846900000000003</v>
      </c>
      <c r="H606">
        <v>-12.9107</v>
      </c>
    </row>
    <row r="607" spans="1:8">
      <c r="A607">
        <v>-4.6234799999999998</v>
      </c>
      <c r="B607">
        <v>-12.5502</v>
      </c>
      <c r="D607">
        <f>-16.6044</f>
        <v>-16.604399999999998</v>
      </c>
      <c r="E607">
        <v>-12.553800000000001</v>
      </c>
      <c r="G607">
        <v>-0.74602299999999999</v>
      </c>
      <c r="H607">
        <v>-12.560700000000001</v>
      </c>
    </row>
    <row r="608" spans="1:8">
      <c r="A608">
        <v>-4.3852799999999998</v>
      </c>
      <c r="B608">
        <v>-12.200200000000001</v>
      </c>
      <c r="D608">
        <f>-16.264</f>
        <v>-16.263999999999999</v>
      </c>
      <c r="E608">
        <v>-12.203799999999999</v>
      </c>
      <c r="G608">
        <v>-0.51663000000000003</v>
      </c>
      <c r="H608">
        <v>-12.210699999999999</v>
      </c>
    </row>
    <row r="609" spans="1:8">
      <c r="A609">
        <v>-4.1476600000000001</v>
      </c>
      <c r="B609">
        <v>-11.850199999999999</v>
      </c>
      <c r="D609">
        <f>-15.92</f>
        <v>-15.92</v>
      </c>
      <c r="E609">
        <v>-11.8538</v>
      </c>
      <c r="G609">
        <v>-0.28950999999999999</v>
      </c>
      <c r="H609">
        <v>-11.8607</v>
      </c>
    </row>
    <row r="610" spans="1:8">
      <c r="A610">
        <v>-3.9108800000000001</v>
      </c>
      <c r="B610">
        <v>-11.5002</v>
      </c>
      <c r="D610">
        <f>-15.5714</f>
        <v>-15.571400000000001</v>
      </c>
      <c r="E610">
        <v>-11.5038</v>
      </c>
      <c r="G610">
        <v>-6.3201800000000002E-2</v>
      </c>
      <c r="H610">
        <v>-11.5107</v>
      </c>
    </row>
    <row r="611" spans="1:8">
      <c r="A611">
        <v>-3.6748099999999999</v>
      </c>
      <c r="B611">
        <v>-11.1502</v>
      </c>
      <c r="D611">
        <f>-15.2169</f>
        <v>-15.216900000000001</v>
      </c>
      <c r="E611">
        <v>-11.1538</v>
      </c>
      <c r="G611">
        <v>0.15964500000000001</v>
      </c>
      <c r="H611">
        <v>-11.1607</v>
      </c>
    </row>
    <row r="612" spans="1:8">
      <c r="A612">
        <v>-3.43946</v>
      </c>
      <c r="B612">
        <v>-10.8002</v>
      </c>
      <c r="D612">
        <f>-14.8578</f>
        <v>-14.857799999999999</v>
      </c>
      <c r="E612">
        <v>-10.803800000000001</v>
      </c>
      <c r="G612">
        <v>0.37986300000000001</v>
      </c>
      <c r="H612">
        <v>-10.810700000000001</v>
      </c>
    </row>
    <row r="613" spans="1:8">
      <c r="A613">
        <v>-3.2120299999999999</v>
      </c>
      <c r="B613">
        <v>-10.450200000000001</v>
      </c>
      <c r="D613">
        <f>-14.4939</f>
        <v>-14.4939</v>
      </c>
      <c r="E613">
        <v>-10.453799999999999</v>
      </c>
      <c r="G613">
        <v>0.595549</v>
      </c>
      <c r="H613">
        <v>-10.460699999999999</v>
      </c>
    </row>
    <row r="614" spans="1:8">
      <c r="A614">
        <v>-2.9884499999999998</v>
      </c>
      <c r="B614">
        <v>-10.100199999999999</v>
      </c>
      <c r="D614">
        <f>-14.1248</f>
        <v>-14.1248</v>
      </c>
      <c r="E614">
        <v>-10.1038</v>
      </c>
      <c r="G614">
        <v>0.81018999999999997</v>
      </c>
      <c r="H614">
        <v>-10.1107</v>
      </c>
    </row>
    <row r="615" spans="1:8">
      <c r="A615">
        <v>-2.7850000000000001</v>
      </c>
      <c r="B615">
        <v>-9.7501899999999999</v>
      </c>
      <c r="D615">
        <f>-13.7506</f>
        <v>-13.7506</v>
      </c>
      <c r="E615">
        <v>-9.7538300000000007</v>
      </c>
      <c r="G615">
        <v>1.02189</v>
      </c>
      <c r="H615">
        <v>-9.7607099999999996</v>
      </c>
    </row>
    <row r="616" spans="1:8">
      <c r="A616">
        <v>-2.5857399999999999</v>
      </c>
      <c r="B616">
        <v>-9.4001900000000003</v>
      </c>
      <c r="D616">
        <f>-13.3714</f>
        <v>-13.3714</v>
      </c>
      <c r="E616">
        <v>-9.4038299999999992</v>
      </c>
      <c r="G616">
        <v>1.22824</v>
      </c>
      <c r="H616">
        <v>-9.4107099999999999</v>
      </c>
    </row>
    <row r="617" spans="1:8">
      <c r="A617">
        <v>-2.3879199999999998</v>
      </c>
      <c r="B617">
        <v>-9.0501900000000006</v>
      </c>
      <c r="D617">
        <f>-12.9875</f>
        <v>-12.987500000000001</v>
      </c>
      <c r="E617">
        <v>-9.0538299999999996</v>
      </c>
      <c r="G617">
        <v>1.4142399999999999</v>
      </c>
      <c r="H617">
        <v>-9.0607100000000003</v>
      </c>
    </row>
    <row r="618" spans="1:8">
      <c r="A618">
        <v>-2.19537</v>
      </c>
      <c r="B618">
        <v>-8.7001899999999992</v>
      </c>
      <c r="D618">
        <f>-12.5984</f>
        <v>-12.5984</v>
      </c>
      <c r="E618">
        <v>-8.70383</v>
      </c>
      <c r="G618">
        <v>1.5152000000000001</v>
      </c>
      <c r="H618">
        <v>-8.7107100000000006</v>
      </c>
    </row>
    <row r="619" spans="1:8">
      <c r="A619">
        <v>-2.0066999999999999</v>
      </c>
      <c r="B619">
        <v>-8.3501899999999996</v>
      </c>
      <c r="D619">
        <f>-12.2058</f>
        <v>-12.2058</v>
      </c>
      <c r="E619">
        <v>-8.3538300000000003</v>
      </c>
      <c r="G619">
        <v>1.53931</v>
      </c>
      <c r="H619">
        <v>-8.3607099999999992</v>
      </c>
    </row>
    <row r="620" spans="1:8">
      <c r="A620">
        <v>-1.8168599999999999</v>
      </c>
      <c r="B620">
        <v>-8.0001899999999999</v>
      </c>
      <c r="D620">
        <f>-11.8068</f>
        <v>-11.806800000000001</v>
      </c>
      <c r="E620">
        <v>-8.0038300000000007</v>
      </c>
      <c r="G620">
        <v>1.55135</v>
      </c>
      <c r="H620">
        <v>-8.0107099999999996</v>
      </c>
    </row>
    <row r="621" spans="1:8">
      <c r="A621">
        <v>-1.62409</v>
      </c>
      <c r="B621">
        <v>-7.6501900000000003</v>
      </c>
      <c r="D621">
        <f>-11.4005</f>
        <v>-11.400499999999999</v>
      </c>
      <c r="E621">
        <v>-7.6538300000000001</v>
      </c>
      <c r="G621">
        <v>1.5612699999999999</v>
      </c>
      <c r="H621">
        <v>-7.6607099999999999</v>
      </c>
    </row>
    <row r="622" spans="1:8">
      <c r="A622">
        <v>-1.42658</v>
      </c>
      <c r="B622">
        <v>-7.3001899999999997</v>
      </c>
      <c r="D622">
        <f>-10.9896</f>
        <v>-10.989599999999999</v>
      </c>
      <c r="E622">
        <v>-7.3038299999999996</v>
      </c>
      <c r="G622">
        <v>1.5680700000000001</v>
      </c>
      <c r="H622">
        <v>-7.3107100000000003</v>
      </c>
    </row>
    <row r="623" spans="1:8">
      <c r="A623">
        <v>-1.2222200000000001</v>
      </c>
      <c r="B623">
        <v>-6.9501900000000001</v>
      </c>
      <c r="D623">
        <f>-10.5725</f>
        <v>-10.5725</v>
      </c>
      <c r="E623">
        <v>-6.95383</v>
      </c>
      <c r="G623">
        <v>1.5733699999999999</v>
      </c>
      <c r="H623">
        <v>-6.9607099999999997</v>
      </c>
    </row>
    <row r="624" spans="1:8">
      <c r="A624">
        <v>-1.00918</v>
      </c>
      <c r="B624">
        <v>-6.6001899999999996</v>
      </c>
      <c r="D624">
        <f>-10.1695</f>
        <v>-10.169499999999999</v>
      </c>
      <c r="E624">
        <v>-6.6038300000000003</v>
      </c>
      <c r="G624">
        <v>1.57778</v>
      </c>
      <c r="H624">
        <v>-6.6107100000000001</v>
      </c>
    </row>
    <row r="625" spans="1:8">
      <c r="A625">
        <v>-0.78137299999999998</v>
      </c>
      <c r="B625">
        <v>-6.2501899999999999</v>
      </c>
      <c r="D625">
        <f>-9.80953</f>
        <v>-9.8095300000000005</v>
      </c>
      <c r="E625">
        <v>-6.2538299999999998</v>
      </c>
      <c r="G625">
        <v>1.58124</v>
      </c>
      <c r="H625">
        <v>-6.2607100000000004</v>
      </c>
    </row>
    <row r="626" spans="1:8">
      <c r="A626">
        <v>-0.53898100000000004</v>
      </c>
      <c r="B626">
        <v>-5.9001900000000003</v>
      </c>
      <c r="D626">
        <f>-9.46555</f>
        <v>-9.4655500000000004</v>
      </c>
      <c r="E626">
        <v>-5.9038300000000001</v>
      </c>
      <c r="G626">
        <v>1.5844199999999999</v>
      </c>
      <c r="H626">
        <v>-5.9107099999999999</v>
      </c>
    </row>
    <row r="627" spans="1:8">
      <c r="A627">
        <v>-0.29042000000000001</v>
      </c>
      <c r="B627">
        <v>-5.5501899999999997</v>
      </c>
      <c r="D627">
        <f>-9.12307</f>
        <v>-9.1230700000000002</v>
      </c>
      <c r="E627">
        <v>-5.5538299999999996</v>
      </c>
      <c r="G627">
        <v>1.5872200000000001</v>
      </c>
      <c r="H627">
        <v>-5.5607100000000003</v>
      </c>
    </row>
    <row r="628" spans="1:8">
      <c r="A628">
        <v>-4.1155499999999998E-2</v>
      </c>
      <c r="B628">
        <v>-5.2001900000000001</v>
      </c>
      <c r="D628">
        <f>-8.7753</f>
        <v>-8.7752999999999997</v>
      </c>
      <c r="E628">
        <v>-5.20383</v>
      </c>
      <c r="G628">
        <v>1.5899300000000001</v>
      </c>
      <c r="H628">
        <v>-5.2107099999999997</v>
      </c>
    </row>
    <row r="629" spans="1:8">
      <c r="A629">
        <v>0.207645</v>
      </c>
      <c r="B629">
        <v>-4.8501899999999996</v>
      </c>
      <c r="D629">
        <f>-8.41186</f>
        <v>-8.4118600000000008</v>
      </c>
      <c r="E629">
        <v>-4.8538300000000003</v>
      </c>
      <c r="G629">
        <v>1.59253</v>
      </c>
      <c r="H629">
        <v>-4.8607100000000001</v>
      </c>
    </row>
    <row r="630" spans="1:8">
      <c r="A630">
        <v>0.45486199999999999</v>
      </c>
      <c r="B630">
        <v>-4.5001899999999999</v>
      </c>
      <c r="D630">
        <f>-8.02569</f>
        <v>-8.0256900000000009</v>
      </c>
      <c r="E630">
        <v>-4.5038299999999998</v>
      </c>
      <c r="G630">
        <v>1.5950500000000001</v>
      </c>
      <c r="H630">
        <v>-4.5107100000000004</v>
      </c>
    </row>
    <row r="631" spans="1:8">
      <c r="A631">
        <v>0.69966600000000001</v>
      </c>
      <c r="B631">
        <v>-4.1501900000000003</v>
      </c>
      <c r="D631">
        <f>-7.61712</f>
        <v>-7.6171199999999999</v>
      </c>
      <c r="E631">
        <v>-4.1538300000000001</v>
      </c>
      <c r="G631">
        <v>1.5972999999999999</v>
      </c>
      <c r="H631">
        <v>-4.1607099999999999</v>
      </c>
    </row>
    <row r="632" spans="1:8">
      <c r="A632">
        <v>0.93532700000000002</v>
      </c>
      <c r="B632">
        <v>-3.8001900000000002</v>
      </c>
      <c r="D632">
        <f>-7.16652</f>
        <v>-7.1665200000000002</v>
      </c>
      <c r="E632">
        <v>-3.80383</v>
      </c>
      <c r="G632">
        <v>1.5993599999999999</v>
      </c>
      <c r="H632">
        <v>-3.8107099999999998</v>
      </c>
    </row>
    <row r="633" spans="1:8">
      <c r="A633">
        <v>1.10995</v>
      </c>
      <c r="B633">
        <v>-3.4501900000000001</v>
      </c>
      <c r="D633">
        <f>-6.68019</f>
        <v>-6.6801899999999996</v>
      </c>
      <c r="E633">
        <v>-3.45383</v>
      </c>
      <c r="G633">
        <v>1.6013900000000001</v>
      </c>
      <c r="H633">
        <v>-3.4607100000000002</v>
      </c>
    </row>
    <row r="634" spans="1:8">
      <c r="A634">
        <v>1.25905</v>
      </c>
      <c r="B634">
        <v>-3.10019</v>
      </c>
      <c r="D634">
        <f>-6.17109</f>
        <v>-6.1710900000000004</v>
      </c>
      <c r="E634">
        <v>-3.1038299999999999</v>
      </c>
      <c r="G634">
        <v>1.6031899999999999</v>
      </c>
      <c r="H634">
        <v>-3.1107100000000001</v>
      </c>
    </row>
    <row r="635" spans="1:8">
      <c r="A635">
        <v>1.4053899999999999</v>
      </c>
      <c r="B635">
        <v>-2.7501899999999999</v>
      </c>
      <c r="D635">
        <f>-5.62323</f>
        <v>-5.6232300000000004</v>
      </c>
      <c r="E635">
        <v>-2.7538299999999998</v>
      </c>
      <c r="G635">
        <v>1.60483</v>
      </c>
      <c r="H635">
        <v>-2.76071</v>
      </c>
    </row>
    <row r="636" spans="1:8">
      <c r="A636">
        <v>1.5510999999999999</v>
      </c>
      <c r="B636">
        <v>-2.4001899999999998</v>
      </c>
      <c r="D636">
        <f>-5.08002</f>
        <v>-5.0800200000000002</v>
      </c>
      <c r="E636">
        <v>-2.4038300000000001</v>
      </c>
      <c r="G636">
        <v>1.6064499999999999</v>
      </c>
      <c r="H636">
        <v>-2.4107099999999999</v>
      </c>
    </row>
    <row r="637" spans="1:8">
      <c r="A637">
        <v>1.6970700000000001</v>
      </c>
      <c r="B637">
        <v>-2.0501900000000002</v>
      </c>
      <c r="D637">
        <f>-4.51066</f>
        <v>-4.5106599999999997</v>
      </c>
      <c r="E637">
        <v>-2.05383</v>
      </c>
      <c r="G637">
        <v>1.6080300000000001</v>
      </c>
      <c r="H637">
        <v>-2.0607099999999998</v>
      </c>
    </row>
    <row r="638" spans="1:8">
      <c r="A638">
        <v>1.8430800000000001</v>
      </c>
      <c r="B638">
        <v>-1.7001900000000001</v>
      </c>
      <c r="D638">
        <f>-3.91576</f>
        <v>-3.9157600000000001</v>
      </c>
      <c r="E638">
        <v>-1.70383</v>
      </c>
      <c r="G638">
        <v>1.6095699999999999</v>
      </c>
      <c r="H638">
        <v>-1.71071</v>
      </c>
    </row>
    <row r="639" spans="1:8">
      <c r="A639">
        <v>1.98811</v>
      </c>
      <c r="B639">
        <v>-1.35019</v>
      </c>
      <c r="D639">
        <f>-3.29106</f>
        <v>-3.2910599999999999</v>
      </c>
      <c r="E639">
        <v>-1.3538300000000001</v>
      </c>
      <c r="G639">
        <v>1.61107</v>
      </c>
      <c r="H639">
        <v>-1.3607100000000001</v>
      </c>
    </row>
    <row r="640" spans="1:8">
      <c r="A640">
        <v>2.1322000000000001</v>
      </c>
      <c r="B640">
        <v>-1.0001899999999999</v>
      </c>
      <c r="D640">
        <f>-2.65327</f>
        <v>-2.65327</v>
      </c>
      <c r="E640">
        <v>-1.00383</v>
      </c>
      <c r="G640">
        <v>1.6125700000000001</v>
      </c>
      <c r="H640">
        <v>-1.01071</v>
      </c>
    </row>
    <row r="641" spans="1:8">
      <c r="A641">
        <v>2.2755299999999998</v>
      </c>
      <c r="B641">
        <v>-0.65018799999999999</v>
      </c>
      <c r="D641">
        <f>-2.0082</f>
        <v>-2.0082</v>
      </c>
      <c r="E641">
        <v>-0.653833</v>
      </c>
      <c r="G641">
        <v>1.6140600000000001</v>
      </c>
      <c r="H641">
        <v>-0.66070799999999996</v>
      </c>
    </row>
    <row r="642" spans="1:8">
      <c r="A642">
        <v>2.4182299999999999</v>
      </c>
      <c r="B642">
        <v>-0.30018800000000001</v>
      </c>
      <c r="D642">
        <f>-1.35622</f>
        <v>-1.35622</v>
      </c>
      <c r="E642">
        <v>-0.30383300000000002</v>
      </c>
      <c r="G642">
        <v>1.6154599999999999</v>
      </c>
      <c r="H642">
        <v>-0.31070799999999998</v>
      </c>
    </row>
    <row r="643" spans="1:8">
      <c r="A643">
        <v>2.5603199999999999</v>
      </c>
      <c r="B643">
        <v>4.9811899999999999E-2</v>
      </c>
      <c r="D643">
        <v>-0.73206000000000004</v>
      </c>
      <c r="E643">
        <v>4.6167300000000001E-2</v>
      </c>
      <c r="G643">
        <v>1.6167199999999999</v>
      </c>
      <c r="H643">
        <v>3.9292399999999998E-2</v>
      </c>
    </row>
    <row r="644" spans="1:8">
      <c r="A644">
        <v>2.7018800000000001</v>
      </c>
      <c r="B644">
        <v>0.399812</v>
      </c>
      <c r="D644">
        <v>-9.6580600000000003E-2</v>
      </c>
      <c r="E644">
        <v>0.39616699999999999</v>
      </c>
      <c r="G644">
        <v>1.6179399999999999</v>
      </c>
      <c r="H644">
        <v>0.38929200000000003</v>
      </c>
    </row>
    <row r="645" spans="1:8">
      <c r="A645">
        <v>2.8429700000000002</v>
      </c>
      <c r="B645">
        <v>0.74981200000000003</v>
      </c>
      <c r="D645">
        <v>0.51832</v>
      </c>
      <c r="E645">
        <v>0.74616700000000002</v>
      </c>
      <c r="G645">
        <v>1.6191500000000001</v>
      </c>
      <c r="H645">
        <v>0.73929199999999995</v>
      </c>
    </row>
    <row r="646" spans="1:8">
      <c r="A646">
        <v>2.9836800000000001</v>
      </c>
      <c r="B646">
        <v>1.09981</v>
      </c>
      <c r="D646">
        <v>1.1237999999999999</v>
      </c>
      <c r="E646">
        <v>1.0961700000000001</v>
      </c>
      <c r="G646">
        <v>1.62033</v>
      </c>
      <c r="H646">
        <v>1.0892900000000001</v>
      </c>
    </row>
    <row r="647" spans="1:8">
      <c r="A647">
        <v>3.1164800000000001</v>
      </c>
      <c r="B647">
        <v>1.44981</v>
      </c>
      <c r="D647">
        <v>1.7353000000000001</v>
      </c>
      <c r="E647">
        <v>1.44617</v>
      </c>
      <c r="G647">
        <v>1.6214999999999999</v>
      </c>
      <c r="H647">
        <v>1.43929</v>
      </c>
    </row>
    <row r="648" spans="1:8">
      <c r="A648">
        <v>3.2402199999999999</v>
      </c>
      <c r="B648">
        <v>1.7998099999999999</v>
      </c>
      <c r="D648">
        <v>2.3271299999999999</v>
      </c>
      <c r="E648">
        <v>1.79617</v>
      </c>
      <c r="G648">
        <v>1.6225499999999999</v>
      </c>
      <c r="H648">
        <v>1.78929</v>
      </c>
    </row>
    <row r="649" spans="1:8">
      <c r="A649">
        <v>3.3241499999999999</v>
      </c>
      <c r="B649">
        <v>2.14981</v>
      </c>
      <c r="D649">
        <v>2.9177900000000001</v>
      </c>
      <c r="E649">
        <v>2.1461700000000001</v>
      </c>
      <c r="G649">
        <v>1.6235299999999999</v>
      </c>
      <c r="H649">
        <v>2.1392899999999999</v>
      </c>
    </row>
    <row r="650" spans="1:8">
      <c r="A650">
        <v>3.38605</v>
      </c>
      <c r="B650">
        <v>2.4998100000000001</v>
      </c>
      <c r="D650">
        <v>3.5220799999999999</v>
      </c>
      <c r="E650">
        <v>2.4961700000000002</v>
      </c>
      <c r="G650">
        <v>1.6245099999999999</v>
      </c>
      <c r="H650">
        <v>2.48929</v>
      </c>
    </row>
    <row r="651" spans="1:8">
      <c r="A651">
        <v>3.4409900000000002</v>
      </c>
      <c r="B651">
        <v>2.8498100000000002</v>
      </c>
      <c r="D651">
        <v>4.1020500000000002</v>
      </c>
      <c r="E651">
        <v>2.8461699999999999</v>
      </c>
      <c r="G651">
        <v>1.62548</v>
      </c>
      <c r="H651">
        <v>2.8392900000000001</v>
      </c>
    </row>
    <row r="652" spans="1:8">
      <c r="A652">
        <v>3.4867400000000002</v>
      </c>
      <c r="B652">
        <v>3.1998099999999998</v>
      </c>
      <c r="D652">
        <v>4.6673499999999999</v>
      </c>
      <c r="E652">
        <v>3.19617</v>
      </c>
      <c r="G652">
        <v>1.6264400000000001</v>
      </c>
      <c r="H652">
        <v>3.1892900000000002</v>
      </c>
    </row>
    <row r="653" spans="1:8">
      <c r="A653">
        <v>3.5318200000000002</v>
      </c>
      <c r="B653">
        <v>3.5498099999999999</v>
      </c>
      <c r="D653">
        <v>5.2351099999999997</v>
      </c>
      <c r="E653">
        <v>3.54617</v>
      </c>
      <c r="G653">
        <v>1.62738</v>
      </c>
      <c r="H653">
        <v>3.5392899999999998</v>
      </c>
    </row>
    <row r="654" spans="1:8">
      <c r="A654">
        <v>3.5769000000000002</v>
      </c>
      <c r="B654">
        <v>3.89981</v>
      </c>
      <c r="D654">
        <v>5.7816200000000002</v>
      </c>
      <c r="E654">
        <v>3.8961700000000001</v>
      </c>
      <c r="G654">
        <v>1.62832</v>
      </c>
      <c r="H654">
        <v>3.8892899999999999</v>
      </c>
    </row>
    <row r="655" spans="1:8">
      <c r="A655">
        <v>3.6219700000000001</v>
      </c>
      <c r="B655">
        <v>4.2498100000000001</v>
      </c>
      <c r="D655">
        <v>6.2899200000000004</v>
      </c>
      <c r="E655">
        <v>4.2461700000000002</v>
      </c>
      <c r="G655">
        <v>1.6292500000000001</v>
      </c>
      <c r="H655">
        <v>4.2392899999999996</v>
      </c>
    </row>
    <row r="656" spans="1:8">
      <c r="A656">
        <v>3.66703</v>
      </c>
      <c r="B656">
        <v>4.5998099999999997</v>
      </c>
      <c r="D656">
        <v>6.7970600000000001</v>
      </c>
      <c r="E656">
        <v>4.5961699999999999</v>
      </c>
      <c r="G656">
        <v>1.63018</v>
      </c>
      <c r="H656">
        <v>4.5892900000000001</v>
      </c>
    </row>
    <row r="657" spans="1:8">
      <c r="A657">
        <v>3.7120799999999998</v>
      </c>
      <c r="B657">
        <v>4.9498100000000003</v>
      </c>
      <c r="D657">
        <v>7.3153899999999998</v>
      </c>
      <c r="E657">
        <v>4.9461700000000004</v>
      </c>
      <c r="G657">
        <v>1.6311199999999999</v>
      </c>
      <c r="H657">
        <v>4.9392899999999997</v>
      </c>
    </row>
    <row r="658" spans="1:8">
      <c r="A658">
        <v>3.7571300000000001</v>
      </c>
      <c r="B658">
        <v>5.2998099999999999</v>
      </c>
      <c r="D658">
        <v>7.8358999999999996</v>
      </c>
      <c r="E658">
        <v>5.29617</v>
      </c>
      <c r="G658">
        <v>1.6320399999999999</v>
      </c>
      <c r="H658">
        <v>5.2892900000000003</v>
      </c>
    </row>
    <row r="659" spans="1:8">
      <c r="A659">
        <v>3.80599</v>
      </c>
      <c r="B659">
        <v>5.6498100000000004</v>
      </c>
      <c r="D659">
        <v>8.3652899999999999</v>
      </c>
      <c r="E659">
        <v>5.6461699999999997</v>
      </c>
      <c r="G659">
        <v>1.6329499999999999</v>
      </c>
      <c r="H659">
        <v>5.6392899999999999</v>
      </c>
    </row>
    <row r="660" spans="1:8">
      <c r="A660">
        <v>3.91656</v>
      </c>
      <c r="B660">
        <v>5.9998100000000001</v>
      </c>
      <c r="D660">
        <v>8.9201499999999996</v>
      </c>
      <c r="E660">
        <v>5.9961700000000002</v>
      </c>
      <c r="G660">
        <v>1.6338600000000001</v>
      </c>
      <c r="H660">
        <v>5.9892899999999996</v>
      </c>
    </row>
    <row r="661" spans="1:8">
      <c r="A661">
        <v>4.2020999999999997</v>
      </c>
      <c r="B661">
        <v>6.3498099999999997</v>
      </c>
      <c r="D661">
        <v>9.46983</v>
      </c>
      <c r="E661">
        <v>6.3461699999999999</v>
      </c>
      <c r="G661">
        <v>1.6347700000000001</v>
      </c>
      <c r="H661">
        <v>6.3392900000000001</v>
      </c>
    </row>
    <row r="662" spans="1:8">
      <c r="A662">
        <v>4.5162199999999997</v>
      </c>
      <c r="B662">
        <v>6.6998100000000003</v>
      </c>
      <c r="D662">
        <v>10.010999999999999</v>
      </c>
      <c r="E662">
        <v>6.6961700000000004</v>
      </c>
      <c r="G662">
        <v>1.63567</v>
      </c>
      <c r="H662">
        <v>6.6892899999999997</v>
      </c>
    </row>
    <row r="663" spans="1:8">
      <c r="A663">
        <v>4.8355199999999998</v>
      </c>
      <c r="B663">
        <v>7.0498099999999999</v>
      </c>
      <c r="D663">
        <v>10.5448</v>
      </c>
      <c r="E663">
        <v>7.04617</v>
      </c>
      <c r="G663">
        <v>1.6365799999999999</v>
      </c>
      <c r="H663">
        <v>7.0392900000000003</v>
      </c>
    </row>
    <row r="664" spans="1:8">
      <c r="A664">
        <v>5.1532</v>
      </c>
      <c r="B664">
        <v>7.3998100000000004</v>
      </c>
      <c r="D664">
        <v>11.069100000000001</v>
      </c>
      <c r="E664">
        <v>7.3961699999999997</v>
      </c>
      <c r="G664">
        <v>1.63748</v>
      </c>
      <c r="H664">
        <v>7.3892899999999999</v>
      </c>
    </row>
    <row r="665" spans="1:8">
      <c r="A665">
        <v>5.4576599999999997</v>
      </c>
      <c r="B665">
        <v>7.7498100000000001</v>
      </c>
      <c r="D665">
        <v>11.5822</v>
      </c>
      <c r="E665">
        <v>7.7461700000000002</v>
      </c>
      <c r="G665">
        <v>1.63835</v>
      </c>
      <c r="H665">
        <v>7.7392899999999996</v>
      </c>
    </row>
    <row r="666" spans="1:8">
      <c r="A666">
        <v>5.7531400000000001</v>
      </c>
      <c r="B666">
        <v>8.0998099999999997</v>
      </c>
      <c r="D666">
        <v>12.085100000000001</v>
      </c>
      <c r="E666">
        <v>8.0961700000000008</v>
      </c>
      <c r="G666">
        <v>1.63916</v>
      </c>
      <c r="H666">
        <v>8.0892900000000001</v>
      </c>
    </row>
    <row r="667" spans="1:8">
      <c r="A667">
        <v>6.0172999999999996</v>
      </c>
      <c r="B667">
        <v>8.4498099999999994</v>
      </c>
      <c r="D667">
        <v>12.583299999999999</v>
      </c>
      <c r="E667">
        <v>8.4461700000000004</v>
      </c>
      <c r="G667">
        <v>1.6399600000000001</v>
      </c>
      <c r="H667">
        <v>8.4392899999999997</v>
      </c>
    </row>
    <row r="668" spans="1:8">
      <c r="A668">
        <v>6.22865</v>
      </c>
      <c r="B668">
        <v>8.7998100000000008</v>
      </c>
      <c r="D668">
        <v>13.073499999999999</v>
      </c>
      <c r="E668">
        <v>8.79617</v>
      </c>
      <c r="G668">
        <v>1.64076</v>
      </c>
      <c r="H668">
        <v>8.7892899999999994</v>
      </c>
    </row>
    <row r="669" spans="1:8">
      <c r="A669">
        <v>6.4092399999999996</v>
      </c>
      <c r="B669">
        <v>9.1498100000000004</v>
      </c>
      <c r="D669">
        <v>13.553699999999999</v>
      </c>
      <c r="E669">
        <v>9.1461699999999997</v>
      </c>
      <c r="G669">
        <v>1.6415599999999999</v>
      </c>
      <c r="H669">
        <v>9.1392900000000008</v>
      </c>
    </row>
    <row r="670" spans="1:8">
      <c r="A670">
        <v>6.5822099999999999</v>
      </c>
      <c r="B670">
        <v>9.4998100000000001</v>
      </c>
      <c r="D670">
        <v>13.9885</v>
      </c>
      <c r="E670">
        <v>9.4961699999999993</v>
      </c>
      <c r="G670">
        <v>1.64236</v>
      </c>
      <c r="H670">
        <v>9.4892900000000004</v>
      </c>
    </row>
    <row r="671" spans="1:8">
      <c r="A671">
        <v>6.7485299999999997</v>
      </c>
      <c r="B671">
        <v>9.8498099999999997</v>
      </c>
      <c r="D671">
        <v>14.3759</v>
      </c>
      <c r="E671">
        <v>9.8461700000000008</v>
      </c>
      <c r="G671">
        <v>1.6431500000000001</v>
      </c>
      <c r="H671">
        <v>9.8392900000000001</v>
      </c>
    </row>
    <row r="672" spans="1:8">
      <c r="A672">
        <v>6.9072199999999997</v>
      </c>
      <c r="B672">
        <v>10.1998</v>
      </c>
      <c r="D672">
        <v>14.7552</v>
      </c>
      <c r="E672">
        <v>10.196199999999999</v>
      </c>
      <c r="G672">
        <v>1.64392</v>
      </c>
      <c r="H672">
        <v>10.189299999999999</v>
      </c>
    </row>
    <row r="673" spans="1:8">
      <c r="A673">
        <v>7.0640900000000002</v>
      </c>
      <c r="B673">
        <v>10.549799999999999</v>
      </c>
      <c r="D673">
        <v>15.1288</v>
      </c>
      <c r="E673">
        <v>10.546200000000001</v>
      </c>
      <c r="G673">
        <v>1.6446799999999999</v>
      </c>
      <c r="H673">
        <v>10.539300000000001</v>
      </c>
    </row>
    <row r="674" spans="1:8">
      <c r="A674">
        <v>7.2208899999999998</v>
      </c>
      <c r="B674">
        <v>10.899800000000001</v>
      </c>
      <c r="D674">
        <v>15.4892</v>
      </c>
      <c r="E674">
        <v>10.8962</v>
      </c>
      <c r="G674">
        <v>1.64544</v>
      </c>
      <c r="H674">
        <v>10.8893</v>
      </c>
    </row>
    <row r="675" spans="1:8">
      <c r="A675">
        <v>7.3776400000000004</v>
      </c>
      <c r="B675">
        <v>11.2498</v>
      </c>
      <c r="D675">
        <v>15.8383</v>
      </c>
      <c r="E675">
        <v>11.2462</v>
      </c>
      <c r="G675">
        <v>1.6462000000000001</v>
      </c>
      <c r="H675">
        <v>11.2393</v>
      </c>
    </row>
    <row r="676" spans="1:8">
      <c r="A676">
        <v>7.5343400000000003</v>
      </c>
      <c r="B676">
        <v>11.5998</v>
      </c>
      <c r="D676">
        <v>16.166799999999999</v>
      </c>
      <c r="E676">
        <v>11.5962</v>
      </c>
      <c r="G676">
        <v>1.6469499999999999</v>
      </c>
      <c r="H676">
        <v>11.5893</v>
      </c>
    </row>
    <row r="677" spans="1:8">
      <c r="A677">
        <v>7.69095</v>
      </c>
      <c r="B677">
        <v>11.9498</v>
      </c>
      <c r="D677">
        <v>16.478200000000001</v>
      </c>
      <c r="E677">
        <v>11.946199999999999</v>
      </c>
      <c r="G677">
        <v>1.64771</v>
      </c>
      <c r="H677">
        <v>11.939299999999999</v>
      </c>
    </row>
    <row r="678" spans="1:8">
      <c r="A678">
        <v>7.8475000000000001</v>
      </c>
      <c r="B678">
        <v>12.299799999999999</v>
      </c>
      <c r="D678">
        <v>16.775700000000001</v>
      </c>
      <c r="E678">
        <v>12.296200000000001</v>
      </c>
      <c r="G678">
        <v>1.6484700000000001</v>
      </c>
      <c r="H678">
        <v>12.289300000000001</v>
      </c>
    </row>
    <row r="679" spans="1:8">
      <c r="A679">
        <v>8.0039999999999996</v>
      </c>
      <c r="B679">
        <v>12.649800000000001</v>
      </c>
      <c r="D679">
        <v>17.064499999999999</v>
      </c>
      <c r="E679">
        <v>12.6462</v>
      </c>
      <c r="G679">
        <v>1.6492100000000001</v>
      </c>
      <c r="H679">
        <v>12.6393</v>
      </c>
    </row>
    <row r="680" spans="1:8">
      <c r="A680">
        <v>8.1604600000000005</v>
      </c>
      <c r="B680">
        <v>12.9998</v>
      </c>
      <c r="D680">
        <v>17.343499999999999</v>
      </c>
      <c r="E680">
        <v>12.9962</v>
      </c>
      <c r="G680">
        <v>1.64991</v>
      </c>
      <c r="H680">
        <v>12.9893</v>
      </c>
    </row>
    <row r="681" spans="1:8">
      <c r="A681">
        <v>8.3168699999999998</v>
      </c>
      <c r="B681">
        <v>13.3498</v>
      </c>
      <c r="D681">
        <v>17.613900000000001</v>
      </c>
      <c r="E681">
        <v>13.3462</v>
      </c>
      <c r="G681">
        <v>1.65059</v>
      </c>
      <c r="H681">
        <v>13.3393</v>
      </c>
    </row>
    <row r="682" spans="1:8">
      <c r="A682">
        <v>8.4716699999999996</v>
      </c>
      <c r="B682">
        <v>13.6998</v>
      </c>
      <c r="D682">
        <v>17.877400000000002</v>
      </c>
      <c r="E682">
        <v>13.696199999999999</v>
      </c>
      <c r="G682">
        <v>1.6512800000000001</v>
      </c>
      <c r="H682">
        <v>13.689299999999999</v>
      </c>
    </row>
    <row r="683" spans="1:8">
      <c r="A683">
        <v>8.5829400000000007</v>
      </c>
      <c r="B683">
        <v>14.049799999999999</v>
      </c>
      <c r="D683">
        <v>18.131399999999999</v>
      </c>
      <c r="E683">
        <v>14.046200000000001</v>
      </c>
      <c r="G683">
        <v>1.6519600000000001</v>
      </c>
      <c r="H683">
        <v>14.039300000000001</v>
      </c>
    </row>
    <row r="684" spans="1:8">
      <c r="A684">
        <v>8.6483500000000006</v>
      </c>
      <c r="B684">
        <v>14.399800000000001</v>
      </c>
      <c r="D684">
        <v>18.380500000000001</v>
      </c>
      <c r="E684">
        <v>14.3962</v>
      </c>
      <c r="G684">
        <v>1.65265</v>
      </c>
      <c r="H684">
        <v>14.3893</v>
      </c>
    </row>
    <row r="685" spans="1:8">
      <c r="A685">
        <v>8.7078500000000005</v>
      </c>
      <c r="B685">
        <v>14.7498</v>
      </c>
      <c r="D685">
        <v>18.586600000000001</v>
      </c>
      <c r="E685">
        <v>14.7462</v>
      </c>
      <c r="G685">
        <v>1.65333</v>
      </c>
      <c r="H685">
        <v>14.7393</v>
      </c>
    </row>
    <row r="686" spans="1:8">
      <c r="A686">
        <v>8.7673299999999994</v>
      </c>
      <c r="B686">
        <v>15.0998</v>
      </c>
      <c r="D686">
        <v>18.543399999999998</v>
      </c>
      <c r="E686">
        <v>15.0962</v>
      </c>
      <c r="G686">
        <v>1.65401</v>
      </c>
      <c r="H686">
        <v>15.0893</v>
      </c>
    </row>
    <row r="687" spans="1:8">
      <c r="A687">
        <v>8.82681</v>
      </c>
      <c r="B687">
        <v>15.4498</v>
      </c>
      <c r="D687">
        <v>18.4574</v>
      </c>
      <c r="E687">
        <v>15.446199999999999</v>
      </c>
      <c r="G687">
        <v>1.65469</v>
      </c>
      <c r="H687">
        <v>15.439299999999999</v>
      </c>
    </row>
    <row r="688" spans="1:8">
      <c r="A688">
        <v>8.8862299999999994</v>
      </c>
      <c r="B688">
        <v>15.799799999999999</v>
      </c>
      <c r="D688">
        <v>18.362200000000001</v>
      </c>
      <c r="E688">
        <v>15.796200000000001</v>
      </c>
      <c r="G688">
        <v>1.6553599999999999</v>
      </c>
      <c r="H688">
        <v>15.789300000000001</v>
      </c>
    </row>
    <row r="689" spans="1:8">
      <c r="A689">
        <v>8.9456199999999999</v>
      </c>
      <c r="B689">
        <v>16.149799999999999</v>
      </c>
      <c r="D689">
        <v>18.264299999999999</v>
      </c>
      <c r="E689">
        <v>16.1462</v>
      </c>
      <c r="G689">
        <v>1.65604</v>
      </c>
      <c r="H689">
        <v>16.139299999999999</v>
      </c>
    </row>
    <row r="690" spans="1:8">
      <c r="A690">
        <v>9.0048700000000004</v>
      </c>
      <c r="B690">
        <v>16.4998</v>
      </c>
      <c r="D690">
        <v>18.1615</v>
      </c>
      <c r="E690">
        <v>16.496200000000002</v>
      </c>
      <c r="G690">
        <v>1.6567000000000001</v>
      </c>
      <c r="H690">
        <v>16.4893</v>
      </c>
    </row>
    <row r="691" spans="1:8">
      <c r="A691">
        <v>9.0625300000000006</v>
      </c>
      <c r="B691">
        <v>16.849799999999998</v>
      </c>
      <c r="D691">
        <v>18.054099999999998</v>
      </c>
      <c r="E691">
        <v>16.8462</v>
      </c>
      <c r="G691">
        <v>1.65737</v>
      </c>
      <c r="H691">
        <v>16.839300000000001</v>
      </c>
    </row>
    <row r="692" spans="1:8">
      <c r="A692">
        <v>9.1153999999999993</v>
      </c>
      <c r="B692">
        <v>17.1998</v>
      </c>
      <c r="D692">
        <v>17.943100000000001</v>
      </c>
      <c r="E692">
        <v>17.196200000000001</v>
      </c>
      <c r="G692">
        <v>1.65804</v>
      </c>
      <c r="H692">
        <v>17.189299999999999</v>
      </c>
    </row>
    <row r="693" spans="1:8">
      <c r="A693">
        <v>9.16371</v>
      </c>
      <c r="B693">
        <v>17.549800000000001</v>
      </c>
      <c r="D693">
        <v>17.830200000000001</v>
      </c>
      <c r="E693">
        <v>17.546199999999999</v>
      </c>
      <c r="G693">
        <v>1.6587000000000001</v>
      </c>
      <c r="H693">
        <v>17.539300000000001</v>
      </c>
    </row>
    <row r="694" spans="1:8">
      <c r="A694">
        <v>9.2079199999999997</v>
      </c>
      <c r="B694">
        <v>17.899799999999999</v>
      </c>
      <c r="D694">
        <v>17.7164</v>
      </c>
      <c r="E694">
        <v>17.8962</v>
      </c>
      <c r="G694">
        <v>1.65937</v>
      </c>
      <c r="H694">
        <v>17.889299999999999</v>
      </c>
    </row>
    <row r="695" spans="1:8">
      <c r="A695">
        <v>9.2495799999999999</v>
      </c>
      <c r="B695">
        <v>18.2498</v>
      </c>
      <c r="D695">
        <v>17.600999999999999</v>
      </c>
      <c r="E695">
        <v>18.246200000000002</v>
      </c>
      <c r="G695">
        <v>1.66004</v>
      </c>
      <c r="H695">
        <v>18.2393</v>
      </c>
    </row>
    <row r="696" spans="1:8">
      <c r="A696">
        <v>9.2888400000000004</v>
      </c>
      <c r="B696">
        <v>18.599799999999998</v>
      </c>
      <c r="D696">
        <v>17.491</v>
      </c>
      <c r="E696">
        <v>18.5962</v>
      </c>
      <c r="G696">
        <v>1.6607099999999999</v>
      </c>
      <c r="H696">
        <v>18.589300000000001</v>
      </c>
    </row>
    <row r="697" spans="1:8">
      <c r="A697">
        <v>9.3240700000000007</v>
      </c>
      <c r="B697">
        <v>18.9498</v>
      </c>
      <c r="D697">
        <v>17.389399999999998</v>
      </c>
      <c r="E697">
        <v>18.946200000000001</v>
      </c>
      <c r="G697">
        <v>1.66137</v>
      </c>
      <c r="H697">
        <v>18.939299999999999</v>
      </c>
    </row>
    <row r="698" spans="1:8">
      <c r="A698">
        <v>9.3577200000000005</v>
      </c>
      <c r="B698">
        <v>19.299800000000001</v>
      </c>
      <c r="D698">
        <v>17.292999999999999</v>
      </c>
      <c r="E698">
        <v>19.296199999999999</v>
      </c>
      <c r="G698">
        <v>1.66204</v>
      </c>
      <c r="H698">
        <v>19.289300000000001</v>
      </c>
    </row>
    <row r="699" spans="1:8">
      <c r="A699">
        <v>9.3902300000000007</v>
      </c>
      <c r="B699">
        <v>19.649799999999999</v>
      </c>
      <c r="D699">
        <v>17.200500000000002</v>
      </c>
      <c r="E699">
        <v>19.6462</v>
      </c>
      <c r="G699">
        <v>1.6627099999999999</v>
      </c>
      <c r="H699">
        <v>19.639299999999999</v>
      </c>
    </row>
    <row r="700" spans="1:8">
      <c r="A700">
        <v>9.4082299999999996</v>
      </c>
      <c r="B700">
        <v>19.9998</v>
      </c>
      <c r="D700">
        <v>17.1142</v>
      </c>
      <c r="E700">
        <v>19.996200000000002</v>
      </c>
      <c r="G700">
        <v>1.66337</v>
      </c>
      <c r="H700">
        <v>19.9893</v>
      </c>
    </row>
    <row r="701" spans="1:8">
      <c r="A701">
        <v>9.0399200000000004</v>
      </c>
      <c r="B701">
        <v>19.599799999999998</v>
      </c>
      <c r="D701">
        <v>16.6539</v>
      </c>
      <c r="E701">
        <v>19.5962</v>
      </c>
      <c r="G701">
        <v>1.33802</v>
      </c>
      <c r="H701">
        <v>19.589300000000001</v>
      </c>
    </row>
    <row r="702" spans="1:8">
      <c r="A702">
        <v>8.6716300000000004</v>
      </c>
      <c r="B702">
        <v>19.1998</v>
      </c>
      <c r="D702">
        <v>16.1845</v>
      </c>
      <c r="E702">
        <v>19.196200000000001</v>
      </c>
      <c r="G702">
        <v>1.01271</v>
      </c>
      <c r="H702">
        <v>19.189299999999999</v>
      </c>
    </row>
    <row r="703" spans="1:8">
      <c r="A703">
        <v>8.3033099999999997</v>
      </c>
      <c r="B703">
        <v>18.799800000000001</v>
      </c>
      <c r="D703">
        <v>15.702400000000001</v>
      </c>
      <c r="E703">
        <v>18.796199999999999</v>
      </c>
      <c r="G703">
        <v>0.68807799999999997</v>
      </c>
      <c r="H703">
        <v>18.789300000000001</v>
      </c>
    </row>
    <row r="704" spans="1:8">
      <c r="A704">
        <v>7.93492</v>
      </c>
      <c r="B704">
        <v>18.399799999999999</v>
      </c>
      <c r="D704">
        <v>15.2056</v>
      </c>
      <c r="E704">
        <v>18.3962</v>
      </c>
      <c r="G704">
        <v>0.36629800000000001</v>
      </c>
      <c r="H704">
        <v>18.389299999999999</v>
      </c>
    </row>
    <row r="705" spans="1:8">
      <c r="A705">
        <v>7.5666599999999997</v>
      </c>
      <c r="B705">
        <v>17.9998</v>
      </c>
      <c r="D705">
        <v>14.6928</v>
      </c>
      <c r="E705">
        <v>17.996200000000002</v>
      </c>
      <c r="G705">
        <v>4.5692999999999998E-2</v>
      </c>
      <c r="H705">
        <v>17.9893</v>
      </c>
    </row>
    <row r="706" spans="1:8">
      <c r="A706">
        <v>7.1991800000000001</v>
      </c>
      <c r="B706">
        <v>17.599799999999998</v>
      </c>
      <c r="D706">
        <v>14.164099999999999</v>
      </c>
      <c r="E706">
        <v>17.5962</v>
      </c>
      <c r="G706">
        <v>-0.27401900000000001</v>
      </c>
      <c r="H706">
        <v>17.589300000000001</v>
      </c>
    </row>
    <row r="707" spans="1:8">
      <c r="A707">
        <v>6.8315999999999999</v>
      </c>
      <c r="B707">
        <v>17.1998</v>
      </c>
      <c r="D707">
        <v>13.623799999999999</v>
      </c>
      <c r="E707">
        <v>17.196200000000001</v>
      </c>
      <c r="G707">
        <v>-0.58996700000000002</v>
      </c>
      <c r="H707">
        <v>17.189299999999999</v>
      </c>
    </row>
    <row r="708" spans="1:8">
      <c r="A708">
        <v>6.4636800000000001</v>
      </c>
      <c r="B708">
        <v>16.799800000000001</v>
      </c>
      <c r="D708">
        <v>13.076700000000001</v>
      </c>
      <c r="E708">
        <v>16.796199999999999</v>
      </c>
      <c r="G708">
        <v>-0.905281</v>
      </c>
      <c r="H708">
        <v>16.789300000000001</v>
      </c>
    </row>
    <row r="709" spans="1:8">
      <c r="A709">
        <v>6.0952400000000004</v>
      </c>
      <c r="B709">
        <v>16.399799999999999</v>
      </c>
      <c r="D709">
        <v>12.521100000000001</v>
      </c>
      <c r="E709">
        <v>16.3962</v>
      </c>
      <c r="G709">
        <v>-1.2205900000000001</v>
      </c>
      <c r="H709">
        <v>16.389299999999999</v>
      </c>
    </row>
    <row r="710" spans="1:8">
      <c r="A710">
        <v>5.7264499999999998</v>
      </c>
      <c r="B710">
        <v>15.9998</v>
      </c>
      <c r="D710">
        <v>11.9573</v>
      </c>
      <c r="E710">
        <v>15.9962</v>
      </c>
      <c r="G710">
        <v>-1.5359100000000001</v>
      </c>
      <c r="H710">
        <v>15.9893</v>
      </c>
    </row>
    <row r="711" spans="1:8">
      <c r="A711">
        <v>5.3571299999999997</v>
      </c>
      <c r="B711">
        <v>15.5998</v>
      </c>
      <c r="D711">
        <v>11.3878</v>
      </c>
      <c r="E711">
        <v>15.5962</v>
      </c>
      <c r="G711">
        <v>-1.76786</v>
      </c>
      <c r="H711">
        <v>15.5893</v>
      </c>
    </row>
    <row r="712" spans="1:8">
      <c r="A712">
        <v>4.9872100000000001</v>
      </c>
      <c r="B712">
        <v>15.1998</v>
      </c>
      <c r="D712">
        <v>10.809699999999999</v>
      </c>
      <c r="E712">
        <v>15.196199999999999</v>
      </c>
      <c r="G712">
        <v>-1.8338099999999999</v>
      </c>
      <c r="H712">
        <v>15.189299999999999</v>
      </c>
    </row>
    <row r="713" spans="1:8">
      <c r="A713">
        <v>4.6166400000000003</v>
      </c>
      <c r="B713">
        <v>14.799799999999999</v>
      </c>
      <c r="D713">
        <v>10.223800000000001</v>
      </c>
      <c r="E713">
        <v>14.796200000000001</v>
      </c>
      <c r="G713">
        <v>-1.8801000000000001</v>
      </c>
      <c r="H713">
        <v>14.789300000000001</v>
      </c>
    </row>
    <row r="714" spans="1:8">
      <c r="A714">
        <v>4.2467600000000001</v>
      </c>
      <c r="B714">
        <v>14.399800000000001</v>
      </c>
      <c r="D714">
        <v>9.6337600000000005</v>
      </c>
      <c r="E714">
        <v>14.3962</v>
      </c>
      <c r="G714">
        <v>-1.9046099999999999</v>
      </c>
      <c r="H714">
        <v>14.3893</v>
      </c>
    </row>
    <row r="715" spans="1:8">
      <c r="A715">
        <v>3.8752900000000001</v>
      </c>
      <c r="B715">
        <v>13.9998</v>
      </c>
      <c r="D715">
        <v>9.0382999999999996</v>
      </c>
      <c r="E715">
        <v>13.9962</v>
      </c>
      <c r="G715">
        <v>-1.92692</v>
      </c>
      <c r="H715">
        <v>13.9893</v>
      </c>
    </row>
    <row r="716" spans="1:8">
      <c r="A716">
        <v>3.5025900000000001</v>
      </c>
      <c r="B716">
        <v>13.5998</v>
      </c>
      <c r="D716">
        <v>8.4359800000000007</v>
      </c>
      <c r="E716">
        <v>13.5962</v>
      </c>
      <c r="G716">
        <v>-1.9481200000000001</v>
      </c>
      <c r="H716">
        <v>13.5893</v>
      </c>
    </row>
    <row r="717" spans="1:8">
      <c r="A717">
        <v>3.12784</v>
      </c>
      <c r="B717">
        <v>13.1998</v>
      </c>
      <c r="D717">
        <v>7.83127</v>
      </c>
      <c r="E717">
        <v>13.196199999999999</v>
      </c>
      <c r="G717">
        <v>-1.96841</v>
      </c>
      <c r="H717">
        <v>13.189299999999999</v>
      </c>
    </row>
    <row r="718" spans="1:8">
      <c r="A718">
        <v>2.74675</v>
      </c>
      <c r="B718">
        <v>12.799799999999999</v>
      </c>
      <c r="D718">
        <v>7.2330800000000002</v>
      </c>
      <c r="E718">
        <v>12.796200000000001</v>
      </c>
      <c r="G718">
        <v>-1.9878800000000001</v>
      </c>
      <c r="H718">
        <v>12.789300000000001</v>
      </c>
    </row>
    <row r="719" spans="1:8">
      <c r="A719">
        <v>2.3581799999999999</v>
      </c>
      <c r="B719">
        <v>12.399800000000001</v>
      </c>
      <c r="D719">
        <v>6.6563100000000004</v>
      </c>
      <c r="E719">
        <v>12.3962</v>
      </c>
      <c r="G719">
        <v>-2.0069499999999998</v>
      </c>
      <c r="H719">
        <v>12.3893</v>
      </c>
    </row>
    <row r="720" spans="1:8">
      <c r="A720">
        <v>1.96048</v>
      </c>
      <c r="B720">
        <v>11.9998</v>
      </c>
      <c r="D720">
        <v>6.0785900000000002</v>
      </c>
      <c r="E720">
        <v>11.9962</v>
      </c>
      <c r="G720">
        <v>-2.0254500000000002</v>
      </c>
      <c r="H720">
        <v>11.9893</v>
      </c>
    </row>
    <row r="721" spans="1:8">
      <c r="A721">
        <v>1.55488</v>
      </c>
      <c r="B721">
        <v>11.5998</v>
      </c>
      <c r="D721">
        <v>5.4992700000000001</v>
      </c>
      <c r="E721">
        <v>11.5962</v>
      </c>
      <c r="G721">
        <v>-2.0434600000000001</v>
      </c>
      <c r="H721">
        <v>11.5893</v>
      </c>
    </row>
    <row r="722" spans="1:8">
      <c r="A722">
        <v>1.1513</v>
      </c>
      <c r="B722">
        <v>11.1998</v>
      </c>
      <c r="D722">
        <v>4.9211999999999998</v>
      </c>
      <c r="E722">
        <v>11.196199999999999</v>
      </c>
      <c r="G722">
        <v>-2.0613100000000002</v>
      </c>
      <c r="H722">
        <v>11.189299999999999</v>
      </c>
    </row>
    <row r="723" spans="1:8">
      <c r="A723">
        <v>0.70417099999999999</v>
      </c>
      <c r="B723">
        <v>10.799799999999999</v>
      </c>
      <c r="D723">
        <v>4.3860200000000003</v>
      </c>
      <c r="E723">
        <v>10.796200000000001</v>
      </c>
      <c r="G723">
        <v>-2.07891</v>
      </c>
      <c r="H723">
        <v>10.789300000000001</v>
      </c>
    </row>
    <row r="724" spans="1:8">
      <c r="A724">
        <v>0.252641</v>
      </c>
      <c r="B724">
        <v>10.399800000000001</v>
      </c>
      <c r="D724">
        <v>3.8576899999999998</v>
      </c>
      <c r="E724">
        <v>10.3962</v>
      </c>
      <c r="G724">
        <v>-2.0962700000000001</v>
      </c>
      <c r="H724">
        <v>10.3893</v>
      </c>
    </row>
    <row r="725" spans="1:8">
      <c r="A725">
        <v>-0.150809</v>
      </c>
      <c r="B725">
        <v>9.9998100000000001</v>
      </c>
      <c r="D725">
        <v>3.3285</v>
      </c>
      <c r="E725">
        <v>9.9961699999999993</v>
      </c>
      <c r="G725">
        <v>-2.1133099999999998</v>
      </c>
      <c r="H725">
        <v>9.9892900000000004</v>
      </c>
    </row>
    <row r="726" spans="1:8">
      <c r="A726">
        <v>-0.46469100000000002</v>
      </c>
      <c r="B726">
        <v>9.5998099999999997</v>
      </c>
      <c r="D726">
        <v>2.79847</v>
      </c>
      <c r="E726">
        <v>9.5961700000000008</v>
      </c>
      <c r="G726">
        <v>-2.13028</v>
      </c>
      <c r="H726">
        <v>9.5892900000000001</v>
      </c>
    </row>
    <row r="727" spans="1:8">
      <c r="A727">
        <v>-0.74497100000000005</v>
      </c>
      <c r="B727">
        <v>9.1998099999999994</v>
      </c>
      <c r="D727">
        <v>2.2683800000000001</v>
      </c>
      <c r="E727">
        <v>9.1961700000000004</v>
      </c>
      <c r="G727">
        <v>-2.1471499999999999</v>
      </c>
      <c r="H727">
        <v>9.1892899999999997</v>
      </c>
    </row>
    <row r="728" spans="1:8">
      <c r="A728">
        <v>-1.00678</v>
      </c>
      <c r="B728">
        <v>8.7998100000000008</v>
      </c>
      <c r="D728">
        <v>1.7307699999999999</v>
      </c>
      <c r="E728">
        <v>8.79617</v>
      </c>
      <c r="G728">
        <v>-2.1639699999999999</v>
      </c>
      <c r="H728">
        <v>8.7892899999999994</v>
      </c>
    </row>
    <row r="729" spans="1:8">
      <c r="A729">
        <v>-1.2496799999999999</v>
      </c>
      <c r="B729">
        <v>8.3998100000000004</v>
      </c>
      <c r="D729">
        <v>1.18665</v>
      </c>
      <c r="E729">
        <v>8.3961699999999997</v>
      </c>
      <c r="G729">
        <v>-2.18059</v>
      </c>
      <c r="H729">
        <v>8.3892900000000008</v>
      </c>
    </row>
    <row r="730" spans="1:8">
      <c r="A730">
        <v>-1.48169</v>
      </c>
      <c r="B730">
        <v>7.9998100000000001</v>
      </c>
      <c r="D730">
        <v>0.643258</v>
      </c>
      <c r="E730">
        <v>7.9961700000000002</v>
      </c>
      <c r="G730">
        <v>-2.1971500000000002</v>
      </c>
      <c r="H730">
        <v>7.9892899999999996</v>
      </c>
    </row>
    <row r="731" spans="1:8">
      <c r="A731">
        <v>-1.7054</v>
      </c>
      <c r="B731">
        <v>7.5998099999999997</v>
      </c>
      <c r="D731">
        <v>0.14613899999999999</v>
      </c>
      <c r="E731">
        <v>7.5961699999999999</v>
      </c>
      <c r="G731">
        <v>-2.2135899999999999</v>
      </c>
      <c r="H731">
        <v>7.5892900000000001</v>
      </c>
    </row>
    <row r="732" spans="1:8">
      <c r="A732">
        <v>-1.92394</v>
      </c>
      <c r="B732">
        <v>7.1998100000000003</v>
      </c>
      <c r="D732">
        <v>-0.310419</v>
      </c>
      <c r="E732">
        <v>7.1961700000000004</v>
      </c>
      <c r="G732">
        <v>-2.22993</v>
      </c>
      <c r="H732">
        <v>7.1892899999999997</v>
      </c>
    </row>
    <row r="733" spans="1:8">
      <c r="A733">
        <v>-2.1394199999999999</v>
      </c>
      <c r="B733">
        <v>6.7998099999999999</v>
      </c>
      <c r="D733">
        <v>-0.75789099999999998</v>
      </c>
      <c r="E733">
        <v>6.79617</v>
      </c>
      <c r="G733">
        <v>-2.2462499999999999</v>
      </c>
      <c r="H733">
        <v>6.7892900000000003</v>
      </c>
    </row>
    <row r="734" spans="1:8">
      <c r="A734">
        <v>-2.3526600000000002</v>
      </c>
      <c r="B734">
        <v>6.3998100000000004</v>
      </c>
      <c r="D734">
        <v>-1.1995499999999999</v>
      </c>
      <c r="E734">
        <v>6.3961699999999997</v>
      </c>
      <c r="G734">
        <v>-2.26254</v>
      </c>
      <c r="H734">
        <v>6.3892899999999999</v>
      </c>
    </row>
    <row r="735" spans="1:8">
      <c r="A735">
        <v>-2.5638700000000001</v>
      </c>
      <c r="B735">
        <v>5.9998100000000001</v>
      </c>
      <c r="D735">
        <v>-1.5702</v>
      </c>
      <c r="E735">
        <v>5.9961700000000002</v>
      </c>
      <c r="G735">
        <v>-2.27881</v>
      </c>
      <c r="H735">
        <v>5.9892899999999996</v>
      </c>
    </row>
    <row r="736" spans="1:8">
      <c r="A736">
        <v>-2.77352</v>
      </c>
      <c r="B736">
        <v>5.5998099999999997</v>
      </c>
      <c r="D736">
        <v>-1.9372400000000001</v>
      </c>
      <c r="E736">
        <v>5.5961699999999999</v>
      </c>
      <c r="G736">
        <v>-2.2950699999999999</v>
      </c>
      <c r="H736">
        <v>5.5892900000000001</v>
      </c>
    </row>
    <row r="737" spans="1:8">
      <c r="A737">
        <v>-2.9703400000000002</v>
      </c>
      <c r="B737">
        <v>5.1998100000000003</v>
      </c>
      <c r="D737">
        <v>-2.3263799999999999</v>
      </c>
      <c r="E737">
        <v>5.1961700000000004</v>
      </c>
      <c r="G737">
        <v>-2.3113299999999999</v>
      </c>
      <c r="H737">
        <v>5.1892899999999997</v>
      </c>
    </row>
    <row r="738" spans="1:8">
      <c r="A738">
        <v>-3.1611099999999999</v>
      </c>
      <c r="B738">
        <v>4.7998099999999999</v>
      </c>
      <c r="D738">
        <v>-2.71279</v>
      </c>
      <c r="E738">
        <v>4.79617</v>
      </c>
      <c r="G738">
        <v>-2.3275100000000002</v>
      </c>
      <c r="H738">
        <v>4.7892900000000003</v>
      </c>
    </row>
    <row r="739" spans="1:8">
      <c r="A739">
        <v>-3.3002699999999998</v>
      </c>
      <c r="B739">
        <v>4.3998100000000004</v>
      </c>
      <c r="D739">
        <v>-3.08941</v>
      </c>
      <c r="E739">
        <v>4.3961699999999997</v>
      </c>
      <c r="G739">
        <v>-2.3436900000000001</v>
      </c>
      <c r="H739">
        <v>4.3892899999999999</v>
      </c>
    </row>
    <row r="740" spans="1:8">
      <c r="A740">
        <v>-3.4104800000000002</v>
      </c>
      <c r="B740">
        <v>3.9998100000000001</v>
      </c>
      <c r="D740">
        <v>-3.4723799999999998</v>
      </c>
      <c r="E740">
        <v>3.9961700000000002</v>
      </c>
      <c r="G740">
        <v>-2.3598599999999998</v>
      </c>
      <c r="H740">
        <v>3.98929</v>
      </c>
    </row>
    <row r="741" spans="1:8">
      <c r="A741">
        <v>-3.5104899999999999</v>
      </c>
      <c r="B741">
        <v>3.5998100000000002</v>
      </c>
      <c r="D741">
        <v>-3.8668</v>
      </c>
      <c r="E741">
        <v>3.5961699999999999</v>
      </c>
      <c r="G741">
        <v>-2.3758699999999999</v>
      </c>
      <c r="H741">
        <v>3.5892900000000001</v>
      </c>
    </row>
    <row r="742" spans="1:8">
      <c r="A742">
        <v>-3.6072899999999999</v>
      </c>
      <c r="B742">
        <v>3.1998099999999998</v>
      </c>
      <c r="D742">
        <v>-4.2507900000000003</v>
      </c>
      <c r="E742">
        <v>3.19617</v>
      </c>
      <c r="G742">
        <v>-2.39154</v>
      </c>
      <c r="H742">
        <v>3.1892900000000002</v>
      </c>
    </row>
    <row r="743" spans="1:8">
      <c r="A743">
        <v>-3.7002700000000002</v>
      </c>
      <c r="B743">
        <v>2.7998099999999999</v>
      </c>
      <c r="D743">
        <v>-4.6373800000000003</v>
      </c>
      <c r="E743">
        <v>2.79617</v>
      </c>
      <c r="G743">
        <v>-2.40686</v>
      </c>
      <c r="H743">
        <v>2.7892899999999998</v>
      </c>
    </row>
    <row r="744" spans="1:8">
      <c r="A744">
        <v>-3.7731400000000002</v>
      </c>
      <c r="B744">
        <v>2.39981</v>
      </c>
      <c r="D744">
        <v>-5.0439299999999996</v>
      </c>
      <c r="E744">
        <v>2.3961700000000001</v>
      </c>
      <c r="G744">
        <v>-2.42197</v>
      </c>
      <c r="H744">
        <v>2.3892899999999999</v>
      </c>
    </row>
    <row r="745" spans="1:8">
      <c r="A745">
        <v>-3.8360400000000001</v>
      </c>
      <c r="B745">
        <v>1.9998100000000001</v>
      </c>
      <c r="D745">
        <v>-5.4601899999999999</v>
      </c>
      <c r="E745">
        <v>1.99617</v>
      </c>
      <c r="G745">
        <v>-2.4355600000000002</v>
      </c>
      <c r="H745">
        <v>1.98929</v>
      </c>
    </row>
    <row r="746" spans="1:8">
      <c r="A746">
        <v>-3.8989199999999999</v>
      </c>
      <c r="B746">
        <v>1.59981</v>
      </c>
      <c r="D746">
        <v>-5.8855300000000002</v>
      </c>
      <c r="E746">
        <v>1.5961700000000001</v>
      </c>
      <c r="G746">
        <v>-2.44712</v>
      </c>
      <c r="H746">
        <v>1.5892900000000001</v>
      </c>
    </row>
    <row r="747" spans="1:8">
      <c r="A747">
        <v>-3.9618000000000002</v>
      </c>
      <c r="B747">
        <v>1.19981</v>
      </c>
      <c r="D747">
        <v>-6.3399299999999998</v>
      </c>
      <c r="E747">
        <v>1.19617</v>
      </c>
      <c r="G747">
        <v>-2.4530699999999999</v>
      </c>
      <c r="H747">
        <v>1.18929</v>
      </c>
    </row>
    <row r="748" spans="1:8">
      <c r="A748">
        <v>-4.0246599999999999</v>
      </c>
      <c r="B748">
        <v>0.79981199999999997</v>
      </c>
      <c r="D748">
        <v>-6.80959</v>
      </c>
      <c r="E748">
        <v>0.79616699999999996</v>
      </c>
      <c r="G748">
        <v>-2.4578700000000002</v>
      </c>
      <c r="H748">
        <v>0.78929199999999999</v>
      </c>
    </row>
    <row r="749" spans="1:8">
      <c r="A749">
        <v>-4.0875300000000001</v>
      </c>
      <c r="B749">
        <v>0.399812</v>
      </c>
      <c r="D749">
        <v>-7.2935299999999996</v>
      </c>
      <c r="E749">
        <v>0.39616699999999999</v>
      </c>
      <c r="G749">
        <v>-2.46244</v>
      </c>
      <c r="H749">
        <v>0.38929200000000003</v>
      </c>
    </row>
    <row r="750" spans="1:8">
      <c r="A750">
        <v>-4.1503800000000002</v>
      </c>
      <c r="B750">
        <v>-1.8810300000000001E-4</v>
      </c>
      <c r="D750">
        <f>-7.80879</f>
        <v>-7.8087900000000001</v>
      </c>
      <c r="E750">
        <v>-3.83271E-3</v>
      </c>
      <c r="G750">
        <v>-2.46698</v>
      </c>
      <c r="H750">
        <v>-1.0707599999999999E-2</v>
      </c>
    </row>
    <row r="751" spans="1:8">
      <c r="A751">
        <v>-4.2132300000000003</v>
      </c>
      <c r="B751">
        <v>-0.40018799999999999</v>
      </c>
      <c r="D751">
        <f>-8.33006</f>
        <v>-8.3300599999999996</v>
      </c>
      <c r="E751">
        <v>-0.403833</v>
      </c>
      <c r="G751">
        <v>-2.4714700000000001</v>
      </c>
      <c r="H751">
        <v>-0.41070800000000002</v>
      </c>
    </row>
    <row r="752" spans="1:8">
      <c r="A752">
        <v>-4.2760699999999998</v>
      </c>
      <c r="B752">
        <v>-0.80018800000000001</v>
      </c>
      <c r="D752">
        <f>-8.86928</f>
        <v>-8.8692799999999998</v>
      </c>
      <c r="E752">
        <v>-0.80383300000000002</v>
      </c>
      <c r="G752">
        <v>-2.4757799999999999</v>
      </c>
      <c r="H752">
        <v>-0.81070799999999998</v>
      </c>
    </row>
    <row r="753" spans="1:8">
      <c r="A753">
        <v>-4.3360599999999998</v>
      </c>
      <c r="B753">
        <v>-1.2001900000000001</v>
      </c>
      <c r="D753">
        <f>-9.38977</f>
        <v>-9.3897700000000004</v>
      </c>
      <c r="E753">
        <v>-1.20383</v>
      </c>
      <c r="G753">
        <v>-2.4786800000000002</v>
      </c>
      <c r="H753">
        <v>-1.21071</v>
      </c>
    </row>
    <row r="754" spans="1:8">
      <c r="A754">
        <v>-4.3922299999999996</v>
      </c>
      <c r="B754">
        <v>-1.60019</v>
      </c>
      <c r="D754">
        <f>-9.90501</f>
        <v>-9.9050100000000008</v>
      </c>
      <c r="E754">
        <v>-1.6038300000000001</v>
      </c>
      <c r="G754">
        <v>-2.4809999999999999</v>
      </c>
      <c r="H754">
        <v>-1.6107100000000001</v>
      </c>
    </row>
    <row r="755" spans="1:8">
      <c r="A755">
        <v>-4.4469099999999999</v>
      </c>
      <c r="B755">
        <v>-2.0001899999999999</v>
      </c>
      <c r="D755">
        <f>-10.4213</f>
        <v>-10.4213</v>
      </c>
      <c r="E755">
        <v>-2.0038299999999998</v>
      </c>
      <c r="G755">
        <v>-2.4829300000000001</v>
      </c>
      <c r="H755">
        <v>-2.01071</v>
      </c>
    </row>
    <row r="756" spans="1:8">
      <c r="A756">
        <v>-4.4953000000000003</v>
      </c>
      <c r="B756">
        <v>-2.4001899999999998</v>
      </c>
      <c r="D756">
        <f>-10.9383</f>
        <v>-10.9383</v>
      </c>
      <c r="E756">
        <v>-2.4038300000000001</v>
      </c>
      <c r="G756">
        <v>-2.4844900000000001</v>
      </c>
      <c r="H756">
        <v>-2.4107099999999999</v>
      </c>
    </row>
    <row r="757" spans="1:8">
      <c r="A757">
        <v>-4.5296900000000004</v>
      </c>
      <c r="B757">
        <v>-2.8001900000000002</v>
      </c>
      <c r="D757">
        <f>-11.4444</f>
        <v>-11.4444</v>
      </c>
      <c r="E757">
        <v>-2.80383</v>
      </c>
      <c r="G757">
        <v>-2.48604</v>
      </c>
      <c r="H757">
        <v>-2.8107099999999998</v>
      </c>
    </row>
    <row r="758" spans="1:8">
      <c r="A758">
        <v>-4.5614299999999997</v>
      </c>
      <c r="B758">
        <v>-3.2001900000000001</v>
      </c>
      <c r="D758">
        <f>-11.9472</f>
        <v>-11.9472</v>
      </c>
      <c r="E758">
        <v>-3.20383</v>
      </c>
      <c r="G758">
        <v>-2.4875699999999998</v>
      </c>
      <c r="H758">
        <v>-3.2107100000000002</v>
      </c>
    </row>
    <row r="759" spans="1:8">
      <c r="A759">
        <v>-4.59267</v>
      </c>
      <c r="B759">
        <v>-3.60019</v>
      </c>
      <c r="D759">
        <f>-12.436</f>
        <v>-12.436</v>
      </c>
      <c r="E759">
        <v>-3.6038299999999999</v>
      </c>
      <c r="G759">
        <v>-2.4891000000000001</v>
      </c>
      <c r="H759">
        <v>-3.6107100000000001</v>
      </c>
    </row>
    <row r="760" spans="1:8">
      <c r="A760">
        <v>-4.6226599999999998</v>
      </c>
      <c r="B760">
        <v>-4.0001899999999999</v>
      </c>
      <c r="D760">
        <f>-12.8996</f>
        <v>-12.8996</v>
      </c>
      <c r="E760">
        <v>-4.0038299999999998</v>
      </c>
      <c r="G760">
        <v>-2.4906299999999999</v>
      </c>
      <c r="H760">
        <v>-4.0107100000000004</v>
      </c>
    </row>
    <row r="761" spans="1:8">
      <c r="A761">
        <v>-4.6447000000000003</v>
      </c>
      <c r="B761">
        <v>-4.4001900000000003</v>
      </c>
      <c r="D761">
        <f>-13.3337</f>
        <v>-13.3337</v>
      </c>
      <c r="E761">
        <v>-4.4038300000000001</v>
      </c>
      <c r="G761">
        <v>-2.49214</v>
      </c>
      <c r="H761">
        <v>-4.4107099999999999</v>
      </c>
    </row>
    <row r="762" spans="1:8">
      <c r="A762">
        <v>-4.65944</v>
      </c>
      <c r="B762">
        <v>-4.8001899999999997</v>
      </c>
      <c r="D762">
        <f>-13.734</f>
        <v>-13.734</v>
      </c>
      <c r="E762">
        <v>-4.8038299999999996</v>
      </c>
      <c r="G762">
        <v>-2.4936500000000001</v>
      </c>
      <c r="H762">
        <v>-4.8107100000000003</v>
      </c>
    </row>
    <row r="763" spans="1:8">
      <c r="A763">
        <v>-4.6716899999999999</v>
      </c>
      <c r="B763">
        <v>-5.2001900000000001</v>
      </c>
      <c r="D763">
        <f>-14.1074</f>
        <v>-14.1074</v>
      </c>
      <c r="E763">
        <v>-5.20383</v>
      </c>
      <c r="G763">
        <v>-2.4951599999999998</v>
      </c>
      <c r="H763">
        <v>-5.2107099999999997</v>
      </c>
    </row>
    <row r="764" spans="1:8">
      <c r="A764">
        <v>-4.6832599999999998</v>
      </c>
      <c r="B764">
        <v>-5.6001899999999996</v>
      </c>
      <c r="D764">
        <f>-14.4462</f>
        <v>-14.446199999999999</v>
      </c>
      <c r="E764">
        <v>-5.6038300000000003</v>
      </c>
      <c r="G764">
        <v>-2.4966499999999998</v>
      </c>
      <c r="H764">
        <v>-5.6107100000000001</v>
      </c>
    </row>
    <row r="765" spans="1:8">
      <c r="A765">
        <v>-4.6932700000000001</v>
      </c>
      <c r="B765">
        <v>-6.0001899999999999</v>
      </c>
      <c r="D765">
        <f>-14.7547</f>
        <v>-14.7547</v>
      </c>
      <c r="E765">
        <v>-6.0038299999999998</v>
      </c>
      <c r="G765">
        <v>-2.4981100000000001</v>
      </c>
      <c r="H765">
        <v>-6.0107100000000004</v>
      </c>
    </row>
    <row r="766" spans="1:8">
      <c r="A766">
        <v>-4.7032800000000003</v>
      </c>
      <c r="B766">
        <v>-6.4001900000000003</v>
      </c>
      <c r="D766">
        <f>-15.0476</f>
        <v>-15.047599999999999</v>
      </c>
      <c r="E766">
        <v>-6.4038300000000001</v>
      </c>
      <c r="G766">
        <v>-2.4995599999999998</v>
      </c>
      <c r="H766">
        <v>-6.4107099999999999</v>
      </c>
    </row>
    <row r="767" spans="1:8">
      <c r="A767">
        <v>-4.7132899999999998</v>
      </c>
      <c r="B767">
        <v>-6.8001899999999997</v>
      </c>
      <c r="D767">
        <f>-15.3201</f>
        <v>-15.3201</v>
      </c>
      <c r="E767">
        <v>-6.8038299999999996</v>
      </c>
      <c r="G767">
        <v>-2.50101</v>
      </c>
      <c r="H767">
        <v>-6.8107100000000003</v>
      </c>
    </row>
    <row r="768" spans="1:8">
      <c r="A768">
        <v>-4.7251399999999997</v>
      </c>
      <c r="B768">
        <v>-7.2001900000000001</v>
      </c>
      <c r="D768">
        <f>-15.5763</f>
        <v>-15.5763</v>
      </c>
      <c r="E768">
        <v>-7.20383</v>
      </c>
      <c r="G768">
        <v>-2.50244</v>
      </c>
      <c r="H768">
        <v>-7.2107099999999997</v>
      </c>
    </row>
    <row r="769" spans="1:8">
      <c r="A769">
        <v>-4.7484000000000002</v>
      </c>
      <c r="B769">
        <v>-7.6001899999999996</v>
      </c>
      <c r="D769">
        <f>-15.8264</f>
        <v>-15.8264</v>
      </c>
      <c r="E769">
        <v>-7.6038300000000003</v>
      </c>
      <c r="G769">
        <v>-2.5038800000000001</v>
      </c>
      <c r="H769">
        <v>-7.6107100000000001</v>
      </c>
    </row>
    <row r="770" spans="1:8">
      <c r="A770">
        <v>-4.7793700000000001</v>
      </c>
      <c r="B770">
        <v>-8.0001899999999999</v>
      </c>
      <c r="D770">
        <f>-16.0627</f>
        <v>-16.0627</v>
      </c>
      <c r="E770">
        <v>-8.0038300000000007</v>
      </c>
      <c r="G770">
        <v>-2.5053000000000001</v>
      </c>
      <c r="H770">
        <v>-8.0107099999999996</v>
      </c>
    </row>
    <row r="771" spans="1:8">
      <c r="A771">
        <v>-4.8215500000000002</v>
      </c>
      <c r="B771">
        <v>-8.4001900000000003</v>
      </c>
      <c r="D771">
        <f>-16.2868</f>
        <v>-16.286799999999999</v>
      </c>
      <c r="E771">
        <v>-8.4038299999999992</v>
      </c>
      <c r="G771">
        <v>-2.5067200000000001</v>
      </c>
      <c r="H771">
        <v>-8.4107099999999999</v>
      </c>
    </row>
    <row r="772" spans="1:8">
      <c r="A772">
        <v>-4.8761999999999999</v>
      </c>
      <c r="B772">
        <v>-8.8001900000000006</v>
      </c>
      <c r="D772">
        <f>-16.5043</f>
        <v>-16.504300000000001</v>
      </c>
      <c r="E772">
        <v>-8.8038299999999996</v>
      </c>
      <c r="G772">
        <v>-2.5081000000000002</v>
      </c>
      <c r="H772">
        <v>-8.8107100000000003</v>
      </c>
    </row>
    <row r="773" spans="1:8">
      <c r="A773">
        <v>-4.9355099999999998</v>
      </c>
      <c r="B773">
        <v>-9.2001899999999992</v>
      </c>
      <c r="D773">
        <f>-16.7182</f>
        <v>-16.7182</v>
      </c>
      <c r="E773">
        <v>-9.20383</v>
      </c>
      <c r="G773">
        <v>-2.5094799999999999</v>
      </c>
      <c r="H773">
        <v>-9.2107100000000006</v>
      </c>
    </row>
    <row r="774" spans="1:8">
      <c r="A774">
        <v>-4.9966100000000004</v>
      </c>
      <c r="B774">
        <v>-9.6001899999999996</v>
      </c>
      <c r="D774">
        <f>-16.9212</f>
        <v>-16.921199999999999</v>
      </c>
      <c r="E774">
        <v>-9.6038300000000003</v>
      </c>
      <c r="G774">
        <v>-2.51085</v>
      </c>
      <c r="H774">
        <v>-9.6107099999999992</v>
      </c>
    </row>
    <row r="775" spans="1:8">
      <c r="A775">
        <v>-5.0592699999999997</v>
      </c>
      <c r="B775">
        <v>-10.0002</v>
      </c>
      <c r="D775">
        <f>-17.1024</f>
        <v>-17.102399999999999</v>
      </c>
      <c r="E775">
        <v>-10.0038</v>
      </c>
      <c r="G775">
        <v>-2.5122200000000001</v>
      </c>
      <c r="H775">
        <v>-10.0107</v>
      </c>
    </row>
    <row r="776" spans="1:8">
      <c r="A776">
        <v>-5.1627000000000001</v>
      </c>
      <c r="B776">
        <v>-10.4002</v>
      </c>
      <c r="D776">
        <f>-17.2754</f>
        <v>-17.275400000000001</v>
      </c>
      <c r="E776">
        <v>-10.4038</v>
      </c>
      <c r="G776">
        <v>-2.5135900000000002</v>
      </c>
      <c r="H776">
        <v>-10.4107</v>
      </c>
    </row>
    <row r="777" spans="1:8">
      <c r="A777">
        <v>-5.3249899999999997</v>
      </c>
      <c r="B777">
        <v>-10.8002</v>
      </c>
      <c r="D777">
        <f>-17.4451</f>
        <v>-17.4451</v>
      </c>
      <c r="E777">
        <v>-10.803800000000001</v>
      </c>
      <c r="G777">
        <v>-2.5149599999999999</v>
      </c>
      <c r="H777">
        <v>-10.810700000000001</v>
      </c>
    </row>
    <row r="778" spans="1:8">
      <c r="A778">
        <v>-5.4581499999999998</v>
      </c>
      <c r="B778">
        <v>-11.200200000000001</v>
      </c>
      <c r="D778">
        <f>-17.61</f>
        <v>-17.61</v>
      </c>
      <c r="E778">
        <v>-11.203799999999999</v>
      </c>
      <c r="G778">
        <v>-2.51633</v>
      </c>
      <c r="H778">
        <v>-11.210699999999999</v>
      </c>
    </row>
    <row r="779" spans="1:8">
      <c r="A779">
        <v>-5.5596800000000002</v>
      </c>
      <c r="B779">
        <v>-11.600199999999999</v>
      </c>
      <c r="D779">
        <f>-17.7688</f>
        <v>-17.768799999999999</v>
      </c>
      <c r="E779">
        <v>-11.6038</v>
      </c>
      <c r="G779">
        <v>-2.5177</v>
      </c>
      <c r="H779">
        <v>-11.6107</v>
      </c>
    </row>
    <row r="780" spans="1:8">
      <c r="A780">
        <v>-5.6315600000000003</v>
      </c>
      <c r="B780">
        <v>-12.0002</v>
      </c>
      <c r="D780">
        <f>-17.9237</f>
        <v>-17.9237</v>
      </c>
      <c r="E780">
        <v>-12.0038</v>
      </c>
      <c r="G780">
        <v>-2.5190700000000001</v>
      </c>
      <c r="H780">
        <v>-12.0107</v>
      </c>
    </row>
    <row r="781" spans="1:8">
      <c r="A781">
        <v>-5.6981099999999998</v>
      </c>
      <c r="B781">
        <v>-12.4002</v>
      </c>
      <c r="D781">
        <f>-18.0743</f>
        <v>-18.074300000000001</v>
      </c>
      <c r="E781">
        <v>-12.4038</v>
      </c>
      <c r="G781">
        <v>-2.5204300000000002</v>
      </c>
      <c r="H781">
        <v>-12.4107</v>
      </c>
    </row>
    <row r="782" spans="1:8">
      <c r="A782">
        <v>-5.7652400000000004</v>
      </c>
      <c r="B782">
        <v>-12.8002</v>
      </c>
      <c r="D782">
        <f>-18.2206</f>
        <v>-18.220600000000001</v>
      </c>
      <c r="E782">
        <v>-12.803800000000001</v>
      </c>
      <c r="G782">
        <v>-2.5217999999999998</v>
      </c>
      <c r="H782">
        <v>-12.810700000000001</v>
      </c>
    </row>
    <row r="783" spans="1:8">
      <c r="A783">
        <v>-5.8329199999999997</v>
      </c>
      <c r="B783">
        <v>-13.200200000000001</v>
      </c>
      <c r="D783">
        <f>-18.3651</f>
        <v>-18.365100000000002</v>
      </c>
      <c r="E783">
        <v>-13.203799999999999</v>
      </c>
      <c r="G783">
        <v>-2.5231699999999999</v>
      </c>
      <c r="H783">
        <v>-13.210699999999999</v>
      </c>
    </row>
    <row r="784" spans="1:8">
      <c r="A784">
        <v>-5.9011300000000002</v>
      </c>
      <c r="B784">
        <v>-13.600199999999999</v>
      </c>
      <c r="D784">
        <f>-18.5081</f>
        <v>-18.508099999999999</v>
      </c>
      <c r="E784">
        <v>-13.6038</v>
      </c>
      <c r="G784">
        <v>-2.52454</v>
      </c>
      <c r="H784">
        <v>-13.6107</v>
      </c>
    </row>
    <row r="785" spans="1:8">
      <c r="A785">
        <v>-5.9696499999999997</v>
      </c>
      <c r="B785">
        <v>-14.0002</v>
      </c>
      <c r="D785">
        <f>-18.6492</f>
        <v>-18.6492</v>
      </c>
      <c r="E785">
        <v>-14.0038</v>
      </c>
      <c r="G785">
        <v>-2.52589</v>
      </c>
      <c r="H785">
        <v>-14.0107</v>
      </c>
    </row>
    <row r="786" spans="1:8">
      <c r="A786">
        <v>-6.0384599999999997</v>
      </c>
      <c r="B786">
        <v>-14.4002</v>
      </c>
      <c r="D786">
        <f>-18.7764</f>
        <v>-18.776399999999999</v>
      </c>
      <c r="E786">
        <v>-14.4038</v>
      </c>
      <c r="G786">
        <v>-2.5272399999999999</v>
      </c>
      <c r="H786">
        <v>-14.4107</v>
      </c>
    </row>
    <row r="787" spans="1:8">
      <c r="A787">
        <v>-6.1025999999999998</v>
      </c>
      <c r="B787">
        <v>-14.8002</v>
      </c>
      <c r="D787">
        <f>-18.8616</f>
        <v>-18.861599999999999</v>
      </c>
      <c r="E787">
        <v>-14.803800000000001</v>
      </c>
      <c r="G787">
        <v>-2.5285799999999998</v>
      </c>
      <c r="H787">
        <v>-14.810700000000001</v>
      </c>
    </row>
    <row r="788" spans="1:8">
      <c r="A788">
        <v>-6.1329799999999999</v>
      </c>
      <c r="B788">
        <v>-15.200200000000001</v>
      </c>
      <c r="D788">
        <f>-18.894</f>
        <v>-18.893999999999998</v>
      </c>
      <c r="E788">
        <v>-15.203799999999999</v>
      </c>
      <c r="G788">
        <v>-2.5299299999999998</v>
      </c>
      <c r="H788">
        <v>-15.210699999999999</v>
      </c>
    </row>
    <row r="789" spans="1:8">
      <c r="A789">
        <v>-6.1571999999999996</v>
      </c>
      <c r="B789">
        <v>-15.600199999999999</v>
      </c>
      <c r="D789">
        <f>-18.9092</f>
        <v>-18.909199999999998</v>
      </c>
      <c r="E789">
        <v>-15.6038</v>
      </c>
      <c r="G789">
        <v>-2.5312700000000001</v>
      </c>
      <c r="H789">
        <v>-15.6107</v>
      </c>
    </row>
    <row r="790" spans="1:8">
      <c r="A790">
        <v>-6.1813799999999999</v>
      </c>
      <c r="B790">
        <v>-16.0002</v>
      </c>
      <c r="D790">
        <f>-18.9082</f>
        <v>-18.908200000000001</v>
      </c>
      <c r="E790">
        <v>-16.003799999999998</v>
      </c>
      <c r="G790">
        <v>-2.5325799999999998</v>
      </c>
      <c r="H790">
        <v>-16.0107</v>
      </c>
    </row>
    <row r="791" spans="1:8">
      <c r="A791">
        <v>-6.2009499999999997</v>
      </c>
      <c r="B791">
        <v>-16.400200000000002</v>
      </c>
      <c r="D791">
        <f>-18.9039</f>
        <v>-18.9039</v>
      </c>
      <c r="E791">
        <v>-16.4038</v>
      </c>
      <c r="G791">
        <v>-2.5339</v>
      </c>
      <c r="H791">
        <v>-16.410699999999999</v>
      </c>
    </row>
    <row r="792" spans="1:8">
      <c r="A792">
        <v>-6.2204499999999996</v>
      </c>
      <c r="B792">
        <v>-16.8002</v>
      </c>
      <c r="D792">
        <f>-18.897</f>
        <v>-18.896999999999998</v>
      </c>
      <c r="E792">
        <v>-16.803799999999999</v>
      </c>
      <c r="G792">
        <v>-2.5352100000000002</v>
      </c>
      <c r="H792">
        <v>-16.810700000000001</v>
      </c>
    </row>
    <row r="793" spans="1:8">
      <c r="A793">
        <v>-6.2399199999999997</v>
      </c>
      <c r="B793">
        <v>-17.200199999999999</v>
      </c>
      <c r="D793">
        <f>-18.8876</f>
        <v>-18.887599999999999</v>
      </c>
      <c r="E793">
        <v>-17.203800000000001</v>
      </c>
      <c r="G793">
        <v>-2.5365199999999999</v>
      </c>
      <c r="H793">
        <v>-17.210699999999999</v>
      </c>
    </row>
    <row r="794" spans="1:8">
      <c r="A794">
        <v>-6.2593199999999998</v>
      </c>
      <c r="B794">
        <v>-17.600200000000001</v>
      </c>
      <c r="D794">
        <f>-18.8754</f>
        <v>-18.875399999999999</v>
      </c>
      <c r="E794">
        <v>-17.6038</v>
      </c>
      <c r="G794">
        <v>-2.53783</v>
      </c>
      <c r="H794">
        <v>-17.610700000000001</v>
      </c>
    </row>
    <row r="795" spans="1:8">
      <c r="A795">
        <v>-6.2786299999999997</v>
      </c>
      <c r="B795">
        <v>-18.0002</v>
      </c>
      <c r="D795">
        <f>-18.8617</f>
        <v>-18.861699999999999</v>
      </c>
      <c r="E795">
        <v>-18.003799999999998</v>
      </c>
      <c r="G795">
        <v>-2.5391400000000002</v>
      </c>
      <c r="H795">
        <v>-18.0107</v>
      </c>
    </row>
    <row r="796" spans="1:8">
      <c r="A796">
        <v>-6.2978500000000004</v>
      </c>
      <c r="B796">
        <v>-18.400200000000002</v>
      </c>
      <c r="D796">
        <f>-18.8469</f>
        <v>-18.846900000000002</v>
      </c>
      <c r="E796">
        <v>-18.4038</v>
      </c>
      <c r="G796">
        <v>-2.5404499999999999</v>
      </c>
      <c r="H796">
        <v>-18.410699999999999</v>
      </c>
    </row>
    <row r="797" spans="1:8">
      <c r="A797">
        <v>-6.3169599999999999</v>
      </c>
      <c r="B797">
        <v>-18.8002</v>
      </c>
      <c r="D797">
        <f>-18.8306</f>
        <v>-18.8306</v>
      </c>
      <c r="E797">
        <v>-18.803799999999999</v>
      </c>
      <c r="G797">
        <v>-2.54176</v>
      </c>
      <c r="H797">
        <v>-18.810700000000001</v>
      </c>
    </row>
    <row r="798" spans="1:8">
      <c r="A798">
        <v>-6.3360399999999997</v>
      </c>
      <c r="B798">
        <v>-19.200199999999999</v>
      </c>
      <c r="D798">
        <f>-18.8126</f>
        <v>-18.8126</v>
      </c>
      <c r="E798">
        <v>-19.203800000000001</v>
      </c>
      <c r="G798">
        <v>-2.5430600000000001</v>
      </c>
      <c r="H798">
        <v>-19.210699999999999</v>
      </c>
    </row>
    <row r="799" spans="1:8">
      <c r="A799">
        <v>-6.3550899999999997</v>
      </c>
      <c r="B799">
        <v>-19.600200000000001</v>
      </c>
      <c r="D799">
        <f>-18.7928</f>
        <v>-18.7928</v>
      </c>
      <c r="E799">
        <v>-19.6038</v>
      </c>
      <c r="G799">
        <v>-2.5443600000000002</v>
      </c>
      <c r="H799">
        <v>-19.610700000000001</v>
      </c>
    </row>
    <row r="800" spans="1:8">
      <c r="A800">
        <v>-6.3741399999999997</v>
      </c>
      <c r="B800">
        <v>-20.0002</v>
      </c>
      <c r="D800">
        <f>-18.7708</f>
        <v>-18.770800000000001</v>
      </c>
      <c r="E800">
        <v>-20.003799999999998</v>
      </c>
      <c r="G800">
        <v>-2.5456400000000001</v>
      </c>
      <c r="H800">
        <v>-20.0107</v>
      </c>
    </row>
    <row r="801" spans="1:8">
      <c r="A801">
        <v>-6.0627199999999997</v>
      </c>
      <c r="B801">
        <v>-19.5502</v>
      </c>
      <c r="D801">
        <f>-18.3795</f>
        <v>-18.3795</v>
      </c>
      <c r="E801">
        <v>-19.553799999999999</v>
      </c>
      <c r="G801">
        <v>-2.28287</v>
      </c>
      <c r="H801">
        <v>-19.560700000000001</v>
      </c>
    </row>
    <row r="802" spans="1:8">
      <c r="A802">
        <v>-5.7546099999999996</v>
      </c>
      <c r="B802">
        <v>-19.100200000000001</v>
      </c>
      <c r="D802">
        <f>-17.9832</f>
        <v>-17.9832</v>
      </c>
      <c r="E802">
        <v>-19.1038</v>
      </c>
      <c r="G802">
        <v>-2.02033</v>
      </c>
      <c r="H802">
        <v>-19.110700000000001</v>
      </c>
    </row>
    <row r="803" spans="1:8">
      <c r="A803">
        <v>-5.4484700000000004</v>
      </c>
      <c r="B803">
        <v>-18.650200000000002</v>
      </c>
      <c r="D803">
        <f>-17.5815</f>
        <v>-17.581499999999998</v>
      </c>
      <c r="E803">
        <v>-18.6538</v>
      </c>
      <c r="G803">
        <v>-1.7578100000000001</v>
      </c>
      <c r="H803">
        <v>-18.660699999999999</v>
      </c>
    </row>
    <row r="804" spans="1:8">
      <c r="A804">
        <v>-5.14236</v>
      </c>
      <c r="B804">
        <v>-18.200199999999999</v>
      </c>
      <c r="D804">
        <f>-17.1759</f>
        <v>-17.175899999999999</v>
      </c>
      <c r="E804">
        <v>-18.203800000000001</v>
      </c>
      <c r="G804">
        <v>-1.49587</v>
      </c>
      <c r="H804">
        <v>-18.210699999999999</v>
      </c>
    </row>
    <row r="805" spans="1:8">
      <c r="A805">
        <v>-4.8363899999999997</v>
      </c>
      <c r="B805">
        <v>-17.7502</v>
      </c>
      <c r="D805">
        <f>-16.7638</f>
        <v>-16.7638</v>
      </c>
      <c r="E805">
        <v>-17.753799999999998</v>
      </c>
      <c r="G805">
        <v>-1.2353000000000001</v>
      </c>
      <c r="H805">
        <v>-17.7607</v>
      </c>
    </row>
    <row r="806" spans="1:8">
      <c r="A806">
        <v>-4.5307899999999997</v>
      </c>
      <c r="B806">
        <v>-17.3002</v>
      </c>
      <c r="D806">
        <f>-16.3454</f>
        <v>-16.345400000000001</v>
      </c>
      <c r="E806">
        <v>-17.303799999999999</v>
      </c>
      <c r="G806">
        <v>-0.97540700000000002</v>
      </c>
      <c r="H806">
        <v>-17.310700000000001</v>
      </c>
    </row>
    <row r="807" spans="1:8">
      <c r="A807">
        <v>-4.2259099999999998</v>
      </c>
      <c r="B807">
        <v>-16.850200000000001</v>
      </c>
      <c r="D807">
        <f>-15.9219</f>
        <v>-15.921900000000001</v>
      </c>
      <c r="E807">
        <v>-16.8538</v>
      </c>
      <c r="G807">
        <v>-0.71710600000000002</v>
      </c>
      <c r="H807">
        <v>-16.860700000000001</v>
      </c>
    </row>
    <row r="808" spans="1:8">
      <c r="A808">
        <v>-3.9214099999999998</v>
      </c>
      <c r="B808">
        <v>-16.400200000000002</v>
      </c>
      <c r="D808">
        <f>-15.4922</f>
        <v>-15.4922</v>
      </c>
      <c r="E808">
        <v>-16.4038</v>
      </c>
      <c r="G808">
        <v>-0.45883099999999999</v>
      </c>
      <c r="H808">
        <v>-16.410699999999999</v>
      </c>
    </row>
    <row r="809" spans="1:8">
      <c r="A809">
        <v>-3.61809</v>
      </c>
      <c r="B809">
        <v>-15.950200000000001</v>
      </c>
      <c r="D809">
        <f>-15.0547</f>
        <v>-15.0547</v>
      </c>
      <c r="E809">
        <v>-15.953799999999999</v>
      </c>
      <c r="G809">
        <v>-0.200909</v>
      </c>
      <c r="H809">
        <v>-15.960699999999999</v>
      </c>
    </row>
    <row r="810" spans="1:8">
      <c r="A810">
        <v>-3.3153000000000001</v>
      </c>
      <c r="B810">
        <v>-15.5002</v>
      </c>
      <c r="D810">
        <f>-14.613</f>
        <v>-14.613</v>
      </c>
      <c r="E810">
        <v>-15.5038</v>
      </c>
      <c r="G810">
        <v>5.5522599999999998E-2</v>
      </c>
      <c r="H810">
        <v>-15.5107</v>
      </c>
    </row>
    <row r="811" spans="1:8">
      <c r="A811">
        <v>-3.0251299999999999</v>
      </c>
      <c r="B811">
        <v>-15.0502</v>
      </c>
      <c r="D811">
        <f>-14.1627</f>
        <v>-14.162699999999999</v>
      </c>
      <c r="E811">
        <v>-15.053800000000001</v>
      </c>
      <c r="G811">
        <v>0.310969</v>
      </c>
      <c r="H811">
        <v>-15.060700000000001</v>
      </c>
    </row>
    <row r="812" spans="1:8">
      <c r="A812">
        <v>-2.7351899999999998</v>
      </c>
      <c r="B812">
        <v>-14.600199999999999</v>
      </c>
      <c r="D812">
        <f>-13.7064</f>
        <v>-13.7064</v>
      </c>
      <c r="E812">
        <v>-14.6038</v>
      </c>
      <c r="G812">
        <v>0.56465500000000002</v>
      </c>
      <c r="H812">
        <v>-14.6107</v>
      </c>
    </row>
    <row r="813" spans="1:8">
      <c r="A813">
        <v>-2.4701</v>
      </c>
      <c r="B813">
        <v>-14.1502</v>
      </c>
      <c r="D813">
        <f>-13.2461</f>
        <v>-13.2461</v>
      </c>
      <c r="E813">
        <v>-14.1538</v>
      </c>
      <c r="G813">
        <v>0.81794999999999995</v>
      </c>
      <c r="H813">
        <v>-14.1607</v>
      </c>
    </row>
    <row r="814" spans="1:8">
      <c r="A814">
        <v>-2.21096</v>
      </c>
      <c r="B814">
        <v>-13.700200000000001</v>
      </c>
      <c r="D814">
        <f>-12.7798</f>
        <v>-12.7798</v>
      </c>
      <c r="E814">
        <v>-13.703799999999999</v>
      </c>
      <c r="G814">
        <v>1.0708299999999999</v>
      </c>
      <c r="H814">
        <v>-13.710699999999999</v>
      </c>
    </row>
    <row r="815" spans="1:8">
      <c r="A815">
        <v>-1.95583</v>
      </c>
      <c r="B815">
        <v>-13.2502</v>
      </c>
      <c r="D815">
        <f>-12.3087</f>
        <v>-12.3087</v>
      </c>
      <c r="E815">
        <v>-13.2538</v>
      </c>
      <c r="G815">
        <v>1.32159</v>
      </c>
      <c r="H815">
        <v>-13.2607</v>
      </c>
    </row>
    <row r="816" spans="1:8">
      <c r="A816">
        <v>-1.70845</v>
      </c>
      <c r="B816">
        <v>-12.8002</v>
      </c>
      <c r="D816">
        <f>-11.8318</f>
        <v>-11.831799999999999</v>
      </c>
      <c r="E816">
        <v>-12.803800000000001</v>
      </c>
      <c r="G816">
        <v>1.5258</v>
      </c>
      <c r="H816">
        <v>-12.810700000000001</v>
      </c>
    </row>
    <row r="817" spans="1:8">
      <c r="A817">
        <v>-1.4563299999999999</v>
      </c>
      <c r="B817">
        <v>-12.350199999999999</v>
      </c>
      <c r="D817">
        <f>-11.3502</f>
        <v>-11.350199999999999</v>
      </c>
      <c r="E817">
        <v>-12.3538</v>
      </c>
      <c r="G817">
        <v>1.5594600000000001</v>
      </c>
      <c r="H817">
        <v>-12.3607</v>
      </c>
    </row>
    <row r="818" spans="1:8">
      <c r="A818">
        <v>-1.1934499999999999</v>
      </c>
      <c r="B818">
        <v>-11.9002</v>
      </c>
      <c r="D818">
        <f>-10.8896</f>
        <v>-10.8896</v>
      </c>
      <c r="E818">
        <v>-11.9038</v>
      </c>
      <c r="G818">
        <v>1.5899300000000001</v>
      </c>
      <c r="H818">
        <v>-11.9107</v>
      </c>
    </row>
    <row r="819" spans="1:8">
      <c r="A819">
        <v>-0.91484900000000002</v>
      </c>
      <c r="B819">
        <v>-11.450200000000001</v>
      </c>
      <c r="D819">
        <f>-10.457</f>
        <v>-10.457000000000001</v>
      </c>
      <c r="E819">
        <v>-11.453799999999999</v>
      </c>
      <c r="G819">
        <v>1.6153999999999999</v>
      </c>
      <c r="H819">
        <v>-11.460699999999999</v>
      </c>
    </row>
    <row r="820" spans="1:8">
      <c r="A820">
        <v>-0.61060599999999998</v>
      </c>
      <c r="B820">
        <v>-11.0002</v>
      </c>
      <c r="D820">
        <f>-10.0955</f>
        <v>-10.095499999999999</v>
      </c>
      <c r="E820">
        <v>-11.0038</v>
      </c>
      <c r="G820">
        <v>1.6355599999999999</v>
      </c>
      <c r="H820">
        <v>-11.0107</v>
      </c>
    </row>
    <row r="821" spans="1:8">
      <c r="A821">
        <v>-0.29213299999999998</v>
      </c>
      <c r="B821">
        <v>-10.5502</v>
      </c>
      <c r="D821">
        <f>-9.73821</f>
        <v>-9.7382100000000005</v>
      </c>
      <c r="E821">
        <v>-10.553800000000001</v>
      </c>
      <c r="G821">
        <v>1.64977</v>
      </c>
      <c r="H821">
        <v>-10.560700000000001</v>
      </c>
    </row>
    <row r="822" spans="1:8">
      <c r="A822">
        <v>2.8342599999999999E-2</v>
      </c>
      <c r="B822">
        <v>-10.100199999999999</v>
      </c>
      <c r="D822">
        <f>-9.38867</f>
        <v>-9.3886699999999994</v>
      </c>
      <c r="E822">
        <v>-10.1038</v>
      </c>
      <c r="G822">
        <v>1.6575299999999999</v>
      </c>
      <c r="H822">
        <v>-10.1107</v>
      </c>
    </row>
    <row r="823" spans="1:8">
      <c r="A823">
        <v>0.34775299999999998</v>
      </c>
      <c r="B823">
        <v>-9.6501900000000003</v>
      </c>
      <c r="D823">
        <f>-9.03531</f>
        <v>-9.0353100000000008</v>
      </c>
      <c r="E823">
        <v>-9.6538299999999992</v>
      </c>
      <c r="G823">
        <v>1.66273</v>
      </c>
      <c r="H823">
        <v>-9.6607099999999999</v>
      </c>
    </row>
    <row r="824" spans="1:8">
      <c r="A824">
        <v>0.66407799999999995</v>
      </c>
      <c r="B824">
        <v>-9.2001899999999992</v>
      </c>
      <c r="D824">
        <f>-8.67966</f>
        <v>-8.6796600000000002</v>
      </c>
      <c r="E824">
        <v>-9.20383</v>
      </c>
      <c r="G824">
        <v>1.66713</v>
      </c>
      <c r="H824">
        <v>-9.2107100000000006</v>
      </c>
    </row>
    <row r="825" spans="1:8">
      <c r="A825">
        <v>0.96762800000000004</v>
      </c>
      <c r="B825">
        <v>-8.7501899999999999</v>
      </c>
      <c r="D825">
        <f>-8.33981</f>
        <v>-8.3398099999999999</v>
      </c>
      <c r="E825">
        <v>-8.7538300000000007</v>
      </c>
      <c r="G825">
        <v>1.67076</v>
      </c>
      <c r="H825">
        <v>-8.7607099999999996</v>
      </c>
    </row>
    <row r="826" spans="1:8">
      <c r="A826">
        <v>1.1712400000000001</v>
      </c>
      <c r="B826">
        <v>-8.3001900000000006</v>
      </c>
      <c r="D826">
        <f>-8.0034</f>
        <v>-8.0033999999999992</v>
      </c>
      <c r="E826">
        <v>-8.3038299999999996</v>
      </c>
      <c r="G826">
        <v>1.6731400000000001</v>
      </c>
      <c r="H826">
        <v>-8.3107100000000003</v>
      </c>
    </row>
    <row r="827" spans="1:8">
      <c r="A827">
        <v>1.3608800000000001</v>
      </c>
      <c r="B827">
        <v>-7.8501899999999996</v>
      </c>
      <c r="D827">
        <f>-7.74348</f>
        <v>-7.7434799999999999</v>
      </c>
      <c r="E827">
        <v>-7.8538300000000003</v>
      </c>
      <c r="G827">
        <v>1.6751400000000001</v>
      </c>
      <c r="H827">
        <v>-7.8607100000000001</v>
      </c>
    </row>
    <row r="828" spans="1:8">
      <c r="A828">
        <v>1.5487</v>
      </c>
      <c r="B828">
        <v>-7.4001900000000003</v>
      </c>
      <c r="D828">
        <f>-7.50396</f>
        <v>-7.5039600000000002</v>
      </c>
      <c r="E828">
        <v>-7.4038300000000001</v>
      </c>
      <c r="G828">
        <v>1.6769799999999999</v>
      </c>
      <c r="H828">
        <v>-7.4107099999999999</v>
      </c>
    </row>
    <row r="829" spans="1:8">
      <c r="A829">
        <v>1.7367300000000001</v>
      </c>
      <c r="B829">
        <v>-6.9501900000000001</v>
      </c>
      <c r="D829">
        <f>-7.27134</f>
        <v>-7.2713400000000004</v>
      </c>
      <c r="E829">
        <v>-6.95383</v>
      </c>
      <c r="G829">
        <v>1.6786700000000001</v>
      </c>
      <c r="H829">
        <v>-6.9607099999999997</v>
      </c>
    </row>
    <row r="830" spans="1:8">
      <c r="A830">
        <v>1.92422</v>
      </c>
      <c r="B830">
        <v>-6.5001899999999999</v>
      </c>
      <c r="D830">
        <f>-7.02852</f>
        <v>-7.0285200000000003</v>
      </c>
      <c r="E830">
        <v>-6.5038299999999998</v>
      </c>
      <c r="G830">
        <v>1.68032</v>
      </c>
      <c r="H830">
        <v>-6.5107100000000004</v>
      </c>
    </row>
    <row r="831" spans="1:8">
      <c r="A831">
        <v>2.1100099999999999</v>
      </c>
      <c r="B831">
        <v>-6.0501899999999997</v>
      </c>
      <c r="D831">
        <f>-6.76521</f>
        <v>-6.7652099999999997</v>
      </c>
      <c r="E831">
        <v>-6.0538299999999996</v>
      </c>
      <c r="G831">
        <v>1.68177</v>
      </c>
      <c r="H831">
        <v>-6.0607100000000003</v>
      </c>
    </row>
    <row r="832" spans="1:8">
      <c r="A832">
        <v>2.29454</v>
      </c>
      <c r="B832">
        <v>-5.6001899999999996</v>
      </c>
      <c r="D832">
        <f>-6.48003</f>
        <v>-6.4800300000000002</v>
      </c>
      <c r="E832">
        <v>-5.6038300000000003</v>
      </c>
      <c r="G832">
        <v>1.68319</v>
      </c>
      <c r="H832">
        <v>-5.6107100000000001</v>
      </c>
    </row>
    <row r="833" spans="1:8">
      <c r="A833">
        <v>2.4779399999999998</v>
      </c>
      <c r="B833">
        <v>-5.1501900000000003</v>
      </c>
      <c r="D833">
        <f>-6.14138</f>
        <v>-6.1413799999999998</v>
      </c>
      <c r="E833">
        <v>-5.1538300000000001</v>
      </c>
      <c r="G833">
        <v>1.68458</v>
      </c>
      <c r="H833">
        <v>-5.1607099999999999</v>
      </c>
    </row>
    <row r="834" spans="1:8">
      <c r="A834">
        <v>2.6603699999999999</v>
      </c>
      <c r="B834">
        <v>-4.7001900000000001</v>
      </c>
      <c r="D834">
        <f>-5.727</f>
        <v>-5.7270000000000003</v>
      </c>
      <c r="E834">
        <v>-4.70383</v>
      </c>
      <c r="G834">
        <v>1.68594</v>
      </c>
      <c r="H834">
        <v>-4.7107099999999997</v>
      </c>
    </row>
    <row r="835" spans="1:8">
      <c r="A835">
        <v>2.8420100000000001</v>
      </c>
      <c r="B835">
        <v>-4.2501899999999999</v>
      </c>
      <c r="D835">
        <f>-5.24014</f>
        <v>-5.2401400000000002</v>
      </c>
      <c r="E835">
        <v>-4.2538299999999998</v>
      </c>
      <c r="G835">
        <v>1.68727</v>
      </c>
      <c r="H835">
        <v>-4.2607100000000004</v>
      </c>
    </row>
    <row r="836" spans="1:8">
      <c r="A836">
        <v>3.02291</v>
      </c>
      <c r="B836">
        <v>-3.8001900000000002</v>
      </c>
      <c r="D836">
        <f>-4.70315</f>
        <v>-4.7031499999999999</v>
      </c>
      <c r="E836">
        <v>-3.80383</v>
      </c>
      <c r="G836">
        <v>1.6886099999999999</v>
      </c>
      <c r="H836">
        <v>-3.8107099999999998</v>
      </c>
    </row>
    <row r="837" spans="1:8">
      <c r="A837">
        <v>3.1865899999999998</v>
      </c>
      <c r="B837">
        <v>-3.35019</v>
      </c>
      <c r="D837">
        <f>-4.15412</f>
        <v>-4.1541199999999998</v>
      </c>
      <c r="E837">
        <v>-3.3538299999999999</v>
      </c>
      <c r="G837">
        <v>1.6899200000000001</v>
      </c>
      <c r="H837">
        <v>-3.3607100000000001</v>
      </c>
    </row>
    <row r="838" spans="1:8">
      <c r="A838">
        <v>3.3017500000000002</v>
      </c>
      <c r="B838">
        <v>-2.9001899999999998</v>
      </c>
      <c r="D838">
        <f>-3.59103</f>
        <v>-3.5910299999999999</v>
      </c>
      <c r="E838">
        <v>-2.9038300000000001</v>
      </c>
      <c r="G838">
        <v>1.69112</v>
      </c>
      <c r="H838">
        <v>-2.9107099999999999</v>
      </c>
    </row>
    <row r="839" spans="1:8">
      <c r="A839">
        <v>3.3798300000000001</v>
      </c>
      <c r="B839">
        <v>-2.4501900000000001</v>
      </c>
      <c r="D839">
        <f>-3.01298</f>
        <v>-3.0129800000000002</v>
      </c>
      <c r="E839">
        <v>-2.45383</v>
      </c>
      <c r="G839">
        <v>1.69228</v>
      </c>
      <c r="H839">
        <v>-2.4607100000000002</v>
      </c>
    </row>
    <row r="840" spans="1:8">
      <c r="A840">
        <v>3.4408300000000001</v>
      </c>
      <c r="B840">
        <v>-2.0001899999999999</v>
      </c>
      <c r="D840">
        <f>-2.44454</f>
        <v>-2.4445399999999999</v>
      </c>
      <c r="E840">
        <v>-2.0038299999999998</v>
      </c>
      <c r="G840">
        <v>1.6934400000000001</v>
      </c>
      <c r="H840">
        <v>-2.01071</v>
      </c>
    </row>
    <row r="841" spans="1:8">
      <c r="A841">
        <v>3.4988199999999998</v>
      </c>
      <c r="B841">
        <v>-1.55019</v>
      </c>
      <c r="D841">
        <f>-1.88461</f>
        <v>-1.8846099999999999</v>
      </c>
      <c r="E841">
        <v>-1.55383</v>
      </c>
      <c r="G841">
        <v>1.6945699999999999</v>
      </c>
      <c r="H841">
        <v>-1.56071</v>
      </c>
    </row>
    <row r="842" spans="1:8">
      <c r="A842">
        <v>3.5567899999999999</v>
      </c>
      <c r="B842">
        <v>-1.10019</v>
      </c>
      <c r="D842">
        <f>-1.33229</f>
        <v>-1.33229</v>
      </c>
      <c r="E842">
        <v>-1.1038300000000001</v>
      </c>
      <c r="G842">
        <v>1.69567</v>
      </c>
      <c r="H842">
        <v>-1.1107100000000001</v>
      </c>
    </row>
    <row r="843" spans="1:8">
      <c r="A843">
        <v>3.6147499999999999</v>
      </c>
      <c r="B843">
        <v>-0.65018799999999999</v>
      </c>
      <c r="D843">
        <f>-0.779753</f>
        <v>-0.77975300000000003</v>
      </c>
      <c r="E843">
        <v>-0.653833</v>
      </c>
      <c r="G843">
        <v>1.69668</v>
      </c>
      <c r="H843">
        <v>-0.66070799999999996</v>
      </c>
    </row>
    <row r="844" spans="1:8">
      <c r="A844">
        <v>3.6726899999999998</v>
      </c>
      <c r="B844">
        <v>-0.200188</v>
      </c>
      <c r="D844">
        <f>-0.254247</f>
        <v>-0.254247</v>
      </c>
      <c r="E844">
        <v>-0.20383299999999999</v>
      </c>
      <c r="G844">
        <v>1.6976899999999999</v>
      </c>
      <c r="H844">
        <v>-0.21070800000000001</v>
      </c>
    </row>
    <row r="845" spans="1:8">
      <c r="A845">
        <v>3.7306300000000001</v>
      </c>
      <c r="B845">
        <v>0.24981200000000001</v>
      </c>
      <c r="D845">
        <v>0.25860699999999998</v>
      </c>
      <c r="E845">
        <v>0.246167</v>
      </c>
      <c r="G845">
        <v>1.69869</v>
      </c>
      <c r="H845">
        <v>0.239292</v>
      </c>
    </row>
    <row r="846" spans="1:8">
      <c r="A846">
        <v>3.7885499999999999</v>
      </c>
      <c r="B846">
        <v>0.69981199999999999</v>
      </c>
      <c r="D846">
        <v>0.77025299999999997</v>
      </c>
      <c r="E846">
        <v>0.69616699999999998</v>
      </c>
      <c r="G846">
        <v>1.6996899999999999</v>
      </c>
      <c r="H846">
        <v>0.68929200000000002</v>
      </c>
    </row>
    <row r="847" spans="1:8">
      <c r="A847">
        <v>3.84646</v>
      </c>
      <c r="B847">
        <v>1.14981</v>
      </c>
      <c r="D847">
        <v>1.2255199999999999</v>
      </c>
      <c r="E847">
        <v>1.1461699999999999</v>
      </c>
      <c r="G847">
        <v>1.7006699999999999</v>
      </c>
      <c r="H847">
        <v>1.1392899999999999</v>
      </c>
    </row>
    <row r="848" spans="1:8">
      <c r="A848">
        <v>3.9043600000000001</v>
      </c>
      <c r="B848">
        <v>1.59981</v>
      </c>
      <c r="D848">
        <v>1.6600299999999999</v>
      </c>
      <c r="E848">
        <v>1.5961700000000001</v>
      </c>
      <c r="G848">
        <v>1.70164</v>
      </c>
      <c r="H848">
        <v>1.5892900000000001</v>
      </c>
    </row>
    <row r="849" spans="1:8">
      <c r="A849">
        <v>3.96225</v>
      </c>
      <c r="B849">
        <v>2.0498099999999999</v>
      </c>
      <c r="D849">
        <v>2.0990600000000001</v>
      </c>
      <c r="E849">
        <v>2.04617</v>
      </c>
      <c r="G849">
        <v>1.70262</v>
      </c>
      <c r="H849">
        <v>2.0392899999999998</v>
      </c>
    </row>
    <row r="850" spans="1:8">
      <c r="A850">
        <v>4.0201399999999996</v>
      </c>
      <c r="B850">
        <v>2.4998100000000001</v>
      </c>
      <c r="D850">
        <v>2.5264799999999998</v>
      </c>
      <c r="E850">
        <v>2.4961700000000002</v>
      </c>
      <c r="G850">
        <v>1.7036</v>
      </c>
      <c r="H850">
        <v>2.48929</v>
      </c>
    </row>
    <row r="851" spans="1:8">
      <c r="A851">
        <v>4.0780099999999999</v>
      </c>
      <c r="B851">
        <v>2.9498099999999998</v>
      </c>
      <c r="D851">
        <v>2.9402599999999999</v>
      </c>
      <c r="E851">
        <v>2.94617</v>
      </c>
      <c r="G851">
        <v>1.70458</v>
      </c>
      <c r="H851">
        <v>2.9392900000000002</v>
      </c>
    </row>
    <row r="852" spans="1:8">
      <c r="A852">
        <v>4.1356799999999998</v>
      </c>
      <c r="B852">
        <v>3.39981</v>
      </c>
      <c r="D852">
        <v>3.3505400000000001</v>
      </c>
      <c r="E852">
        <v>3.3961700000000001</v>
      </c>
      <c r="G852">
        <v>1.7055400000000001</v>
      </c>
      <c r="H852">
        <v>3.3892899999999999</v>
      </c>
    </row>
    <row r="853" spans="1:8">
      <c r="A853">
        <v>4.1918100000000003</v>
      </c>
      <c r="B853">
        <v>3.8498100000000002</v>
      </c>
      <c r="D853">
        <v>3.7546200000000001</v>
      </c>
      <c r="E853">
        <v>3.8461699999999999</v>
      </c>
      <c r="G853">
        <v>1.7064999999999999</v>
      </c>
      <c r="H853">
        <v>3.8392900000000001</v>
      </c>
    </row>
    <row r="854" spans="1:8">
      <c r="A854">
        <v>4.2453099999999999</v>
      </c>
      <c r="B854">
        <v>4.2998099999999999</v>
      </c>
      <c r="D854">
        <v>4.1713399999999998</v>
      </c>
      <c r="E854">
        <v>4.29617</v>
      </c>
      <c r="G854">
        <v>1.70746</v>
      </c>
      <c r="H854">
        <v>4.2892900000000003</v>
      </c>
    </row>
    <row r="855" spans="1:8">
      <c r="A855">
        <v>4.2953099999999997</v>
      </c>
      <c r="B855">
        <v>4.7498100000000001</v>
      </c>
      <c r="D855">
        <v>4.5825699999999996</v>
      </c>
      <c r="E855">
        <v>4.7461700000000002</v>
      </c>
      <c r="G855">
        <v>1.70842</v>
      </c>
      <c r="H855">
        <v>4.7392899999999996</v>
      </c>
    </row>
    <row r="856" spans="1:8">
      <c r="A856">
        <v>4.3449600000000004</v>
      </c>
      <c r="B856">
        <v>5.1998100000000003</v>
      </c>
      <c r="D856">
        <v>5.0051800000000002</v>
      </c>
      <c r="E856">
        <v>5.1961700000000004</v>
      </c>
      <c r="G856">
        <v>1.7093799999999999</v>
      </c>
      <c r="H856">
        <v>5.1892899999999997</v>
      </c>
    </row>
    <row r="857" spans="1:8">
      <c r="A857">
        <v>4.3925200000000002</v>
      </c>
      <c r="B857">
        <v>5.6498100000000004</v>
      </c>
      <c r="D857">
        <v>5.4421499999999998</v>
      </c>
      <c r="E857">
        <v>5.6461699999999997</v>
      </c>
      <c r="G857">
        <v>1.7103200000000001</v>
      </c>
      <c r="H857">
        <v>5.6392899999999999</v>
      </c>
    </row>
    <row r="858" spans="1:8">
      <c r="A858">
        <v>4.4322800000000004</v>
      </c>
      <c r="B858">
        <v>6.0998099999999997</v>
      </c>
      <c r="D858">
        <v>5.90055</v>
      </c>
      <c r="E858">
        <v>6.0961699999999999</v>
      </c>
      <c r="G858">
        <v>1.7112099999999999</v>
      </c>
      <c r="H858">
        <v>6.0892900000000001</v>
      </c>
    </row>
    <row r="859" spans="1:8">
      <c r="A859">
        <v>4.4818899999999999</v>
      </c>
      <c r="B859">
        <v>6.5498099999999999</v>
      </c>
      <c r="D859">
        <v>6.3582000000000001</v>
      </c>
      <c r="E859">
        <v>6.54617</v>
      </c>
      <c r="G859">
        <v>1.71211</v>
      </c>
      <c r="H859">
        <v>6.5392900000000003</v>
      </c>
    </row>
    <row r="860" spans="1:8">
      <c r="A860">
        <v>4.5709099999999996</v>
      </c>
      <c r="B860">
        <v>6.9998100000000001</v>
      </c>
      <c r="D860">
        <v>6.8120500000000002</v>
      </c>
      <c r="E860">
        <v>6.9961700000000002</v>
      </c>
      <c r="G860">
        <v>1.7130099999999999</v>
      </c>
      <c r="H860">
        <v>6.9892899999999996</v>
      </c>
    </row>
    <row r="861" spans="1:8">
      <c r="A861">
        <v>4.6859200000000003</v>
      </c>
      <c r="B861">
        <v>7.4498100000000003</v>
      </c>
      <c r="D861">
        <v>7.19909</v>
      </c>
      <c r="E861">
        <v>7.4461700000000004</v>
      </c>
      <c r="G861">
        <v>1.7139</v>
      </c>
      <c r="H861">
        <v>7.4392899999999997</v>
      </c>
    </row>
    <row r="862" spans="1:8">
      <c r="A862">
        <v>4.9421200000000001</v>
      </c>
      <c r="B862">
        <v>7.8998100000000004</v>
      </c>
      <c r="D862">
        <v>7.5909199999999997</v>
      </c>
      <c r="E862">
        <v>7.8961699999999997</v>
      </c>
      <c r="G862">
        <v>1.71479</v>
      </c>
      <c r="H862">
        <v>7.8892899999999999</v>
      </c>
    </row>
    <row r="863" spans="1:8">
      <c r="A863">
        <v>5.1670499999999997</v>
      </c>
      <c r="B863">
        <v>8.3498099999999997</v>
      </c>
      <c r="D863">
        <v>7.9905400000000002</v>
      </c>
      <c r="E863">
        <v>8.3461700000000008</v>
      </c>
      <c r="G863">
        <v>1.71567</v>
      </c>
      <c r="H863">
        <v>8.3392900000000001</v>
      </c>
    </row>
    <row r="864" spans="1:8">
      <c r="A864">
        <v>5.3829099999999999</v>
      </c>
      <c r="B864">
        <v>8.7998100000000008</v>
      </c>
      <c r="D864">
        <v>8.4071400000000001</v>
      </c>
      <c r="E864">
        <v>8.79617</v>
      </c>
      <c r="G864">
        <v>1.71654</v>
      </c>
      <c r="H864">
        <v>8.7892899999999994</v>
      </c>
    </row>
    <row r="865" spans="1:8">
      <c r="A865">
        <v>5.5896100000000004</v>
      </c>
      <c r="B865">
        <v>9.2498100000000001</v>
      </c>
      <c r="D865">
        <v>8.8383900000000004</v>
      </c>
      <c r="E865">
        <v>9.2461699999999993</v>
      </c>
      <c r="G865">
        <v>1.7174100000000001</v>
      </c>
      <c r="H865">
        <v>9.2392900000000004</v>
      </c>
    </row>
    <row r="866" spans="1:8">
      <c r="A866">
        <v>5.7871600000000001</v>
      </c>
      <c r="B866">
        <v>9.6998099999999994</v>
      </c>
      <c r="D866">
        <v>9.2661800000000003</v>
      </c>
      <c r="E866">
        <v>9.6961700000000004</v>
      </c>
      <c r="G866">
        <v>1.71828</v>
      </c>
      <c r="H866">
        <v>9.6892899999999997</v>
      </c>
    </row>
    <row r="867" spans="1:8">
      <c r="A867">
        <v>5.9848100000000004</v>
      </c>
      <c r="B867">
        <v>10.149800000000001</v>
      </c>
      <c r="D867">
        <v>9.6828599999999998</v>
      </c>
      <c r="E867">
        <v>10.1462</v>
      </c>
      <c r="G867">
        <v>1.71915</v>
      </c>
      <c r="H867">
        <v>10.1393</v>
      </c>
    </row>
    <row r="868" spans="1:8">
      <c r="A868">
        <v>6.1824500000000002</v>
      </c>
      <c r="B868">
        <v>10.5998</v>
      </c>
      <c r="D868">
        <v>10.0892</v>
      </c>
      <c r="E868">
        <v>10.5962</v>
      </c>
      <c r="G868">
        <v>1.7200200000000001</v>
      </c>
      <c r="H868">
        <v>10.5893</v>
      </c>
    </row>
    <row r="869" spans="1:8">
      <c r="A869">
        <v>6.38002</v>
      </c>
      <c r="B869">
        <v>11.049799999999999</v>
      </c>
      <c r="D869">
        <v>10.491199999999999</v>
      </c>
      <c r="E869">
        <v>11.046200000000001</v>
      </c>
      <c r="G869">
        <v>1.7208699999999999</v>
      </c>
      <c r="H869">
        <v>11.039300000000001</v>
      </c>
    </row>
    <row r="870" spans="1:8">
      <c r="A870">
        <v>6.5775699999999997</v>
      </c>
      <c r="B870">
        <v>11.4998</v>
      </c>
      <c r="D870">
        <v>10.8901</v>
      </c>
      <c r="E870">
        <v>11.4962</v>
      </c>
      <c r="G870">
        <v>1.7217</v>
      </c>
      <c r="H870">
        <v>11.4893</v>
      </c>
    </row>
    <row r="871" spans="1:8">
      <c r="A871">
        <v>6.7750300000000001</v>
      </c>
      <c r="B871">
        <v>11.9498</v>
      </c>
      <c r="D871">
        <v>11.283899999999999</v>
      </c>
      <c r="E871">
        <v>11.946199999999999</v>
      </c>
      <c r="G871">
        <v>1.7225200000000001</v>
      </c>
      <c r="H871">
        <v>11.939299999999999</v>
      </c>
    </row>
    <row r="872" spans="1:8">
      <c r="A872">
        <v>6.9724599999999999</v>
      </c>
      <c r="B872">
        <v>12.399800000000001</v>
      </c>
      <c r="D872">
        <v>11.670500000000001</v>
      </c>
      <c r="E872">
        <v>12.3962</v>
      </c>
      <c r="G872">
        <v>1.7233499999999999</v>
      </c>
      <c r="H872">
        <v>12.3893</v>
      </c>
    </row>
    <row r="873" spans="1:8">
      <c r="A873">
        <v>7.16981</v>
      </c>
      <c r="B873">
        <v>12.8498</v>
      </c>
      <c r="D873">
        <v>12.0519</v>
      </c>
      <c r="E873">
        <v>12.8462</v>
      </c>
      <c r="G873">
        <v>1.72417</v>
      </c>
      <c r="H873">
        <v>12.8393</v>
      </c>
    </row>
    <row r="874" spans="1:8">
      <c r="A874">
        <v>7.3670600000000004</v>
      </c>
      <c r="B874">
        <v>13.299799999999999</v>
      </c>
      <c r="D874">
        <v>12.4254</v>
      </c>
      <c r="E874">
        <v>13.296200000000001</v>
      </c>
      <c r="G874">
        <v>1.7250000000000001</v>
      </c>
      <c r="H874">
        <v>13.289300000000001</v>
      </c>
    </row>
    <row r="875" spans="1:8">
      <c r="A875">
        <v>7.5642500000000004</v>
      </c>
      <c r="B875">
        <v>13.7498</v>
      </c>
      <c r="D875">
        <v>12.7964</v>
      </c>
      <c r="E875">
        <v>13.7462</v>
      </c>
      <c r="G875">
        <v>1.7258199999999999</v>
      </c>
      <c r="H875">
        <v>13.7393</v>
      </c>
    </row>
    <row r="876" spans="1:8">
      <c r="A876">
        <v>7.7549900000000003</v>
      </c>
      <c r="B876">
        <v>14.1998</v>
      </c>
      <c r="D876">
        <v>13.165100000000001</v>
      </c>
      <c r="E876">
        <v>14.196199999999999</v>
      </c>
      <c r="G876">
        <v>1.72664</v>
      </c>
      <c r="H876">
        <v>14.189299999999999</v>
      </c>
    </row>
    <row r="877" spans="1:8">
      <c r="A877">
        <v>7.9032299999999998</v>
      </c>
      <c r="B877">
        <v>14.649800000000001</v>
      </c>
      <c r="D877">
        <v>13.531000000000001</v>
      </c>
      <c r="E877">
        <v>14.6462</v>
      </c>
      <c r="G877">
        <v>1.72746</v>
      </c>
      <c r="H877">
        <v>14.6393</v>
      </c>
    </row>
    <row r="878" spans="1:8">
      <c r="A878">
        <v>8.0226400000000009</v>
      </c>
      <c r="B878">
        <v>15.0998</v>
      </c>
      <c r="D878">
        <v>13.8918</v>
      </c>
      <c r="E878">
        <v>15.0962</v>
      </c>
      <c r="G878">
        <v>1.72827</v>
      </c>
      <c r="H878">
        <v>15.0893</v>
      </c>
    </row>
    <row r="879" spans="1:8">
      <c r="A879">
        <v>8.1327599999999993</v>
      </c>
      <c r="B879">
        <v>15.549799999999999</v>
      </c>
      <c r="D879">
        <v>14.2425</v>
      </c>
      <c r="E879">
        <v>15.546200000000001</v>
      </c>
      <c r="G879">
        <v>1.72909</v>
      </c>
      <c r="H879">
        <v>15.539300000000001</v>
      </c>
    </row>
    <row r="880" spans="1:8">
      <c r="A880">
        <v>8.22912</v>
      </c>
      <c r="B880">
        <v>15.9998</v>
      </c>
      <c r="D880">
        <v>14.587</v>
      </c>
      <c r="E880">
        <v>15.9962</v>
      </c>
      <c r="G880">
        <v>1.7299</v>
      </c>
      <c r="H880">
        <v>15.9893</v>
      </c>
    </row>
    <row r="881" spans="1:8">
      <c r="A881">
        <v>8.3094999999999999</v>
      </c>
      <c r="B881">
        <v>16.4498</v>
      </c>
      <c r="D881">
        <v>14.9245</v>
      </c>
      <c r="E881">
        <v>16.446200000000001</v>
      </c>
      <c r="G881">
        <v>1.73072</v>
      </c>
      <c r="H881">
        <v>16.439299999999999</v>
      </c>
    </row>
    <row r="882" spans="1:8">
      <c r="A882">
        <v>8.38809</v>
      </c>
      <c r="B882">
        <v>16.899799999999999</v>
      </c>
      <c r="D882">
        <v>15.2562</v>
      </c>
      <c r="E882">
        <v>16.8962</v>
      </c>
      <c r="G882">
        <v>1.73153</v>
      </c>
      <c r="H882">
        <v>16.889299999999999</v>
      </c>
    </row>
    <row r="883" spans="1:8">
      <c r="A883">
        <v>8.4614999999999991</v>
      </c>
      <c r="B883">
        <v>17.349799999999998</v>
      </c>
      <c r="D883">
        <v>15.5831</v>
      </c>
      <c r="E883">
        <v>17.3462</v>
      </c>
      <c r="G883">
        <v>1.73234</v>
      </c>
      <c r="H883">
        <v>17.339300000000001</v>
      </c>
    </row>
    <row r="884" spans="1:8">
      <c r="A884">
        <v>8.5349000000000004</v>
      </c>
      <c r="B884">
        <v>17.799800000000001</v>
      </c>
      <c r="D884">
        <v>15.898899999999999</v>
      </c>
      <c r="E884">
        <v>17.796199999999999</v>
      </c>
      <c r="G884">
        <v>1.73316</v>
      </c>
      <c r="H884">
        <v>17.789300000000001</v>
      </c>
    </row>
    <row r="885" spans="1:8">
      <c r="A885">
        <v>8.6082999999999998</v>
      </c>
      <c r="B885">
        <v>18.2498</v>
      </c>
      <c r="D885">
        <v>16.201699999999999</v>
      </c>
      <c r="E885">
        <v>18.246200000000002</v>
      </c>
      <c r="G885">
        <v>1.73397</v>
      </c>
      <c r="H885">
        <v>18.2393</v>
      </c>
    </row>
    <row r="886" spans="1:8">
      <c r="A886">
        <v>8.6816600000000008</v>
      </c>
      <c r="B886">
        <v>18.6998</v>
      </c>
      <c r="D886">
        <v>16.489699999999999</v>
      </c>
      <c r="E886">
        <v>18.696200000000001</v>
      </c>
      <c r="G886">
        <v>1.7347900000000001</v>
      </c>
      <c r="H886">
        <v>18.689299999999999</v>
      </c>
    </row>
    <row r="887" spans="1:8">
      <c r="A887">
        <v>8.7549799999999998</v>
      </c>
      <c r="B887">
        <v>19.149799999999999</v>
      </c>
      <c r="D887">
        <v>16.761399999999998</v>
      </c>
      <c r="E887">
        <v>19.1462</v>
      </c>
      <c r="G887">
        <v>1.7356</v>
      </c>
      <c r="H887">
        <v>19.139299999999999</v>
      </c>
    </row>
    <row r="888" spans="1:8">
      <c r="A888">
        <v>8.8282500000000006</v>
      </c>
      <c r="B888">
        <v>19.599799999999998</v>
      </c>
      <c r="D888">
        <v>17.006399999999999</v>
      </c>
      <c r="E888">
        <v>19.5962</v>
      </c>
      <c r="G888">
        <v>1.7364200000000001</v>
      </c>
      <c r="H888">
        <v>19.589300000000001</v>
      </c>
    </row>
    <row r="889" spans="1:8">
      <c r="A889">
        <v>8.90151</v>
      </c>
      <c r="B889">
        <v>20.049800000000001</v>
      </c>
      <c r="D889">
        <v>17.0062</v>
      </c>
      <c r="E889">
        <v>20.046199999999999</v>
      </c>
      <c r="G889">
        <v>1.7372300000000001</v>
      </c>
      <c r="H889">
        <v>20.039300000000001</v>
      </c>
    </row>
    <row r="890" spans="1:8">
      <c r="A890">
        <v>8.9747699999999995</v>
      </c>
      <c r="B890">
        <v>20.4998</v>
      </c>
      <c r="D890">
        <v>16.907900000000001</v>
      </c>
      <c r="E890">
        <v>20.496200000000002</v>
      </c>
      <c r="G890">
        <v>1.73804</v>
      </c>
      <c r="H890">
        <v>20.4893</v>
      </c>
    </row>
    <row r="891" spans="1:8">
      <c r="A891">
        <v>9.0473599999999994</v>
      </c>
      <c r="B891">
        <v>20.9498</v>
      </c>
      <c r="D891">
        <v>16.8184</v>
      </c>
      <c r="E891">
        <v>20.946200000000001</v>
      </c>
      <c r="G891">
        <v>1.7388600000000001</v>
      </c>
      <c r="H891">
        <v>20.939299999999999</v>
      </c>
    </row>
    <row r="892" spans="1:8">
      <c r="A892">
        <v>9.1077999999999992</v>
      </c>
      <c r="B892">
        <v>21.399799999999999</v>
      </c>
      <c r="D892">
        <v>16.73</v>
      </c>
      <c r="E892">
        <v>21.3962</v>
      </c>
      <c r="G892">
        <v>1.73967</v>
      </c>
      <c r="H892">
        <v>21.389299999999999</v>
      </c>
    </row>
    <row r="893" spans="1:8">
      <c r="A893">
        <v>9.1574000000000009</v>
      </c>
      <c r="B893">
        <v>21.849799999999998</v>
      </c>
      <c r="D893">
        <v>16.644400000000001</v>
      </c>
      <c r="E893">
        <v>21.8462</v>
      </c>
      <c r="G893">
        <v>1.7404900000000001</v>
      </c>
      <c r="H893">
        <v>21.839300000000001</v>
      </c>
    </row>
    <row r="894" spans="1:8">
      <c r="A894">
        <v>9.2005800000000004</v>
      </c>
      <c r="B894">
        <v>22.299800000000001</v>
      </c>
      <c r="D894">
        <v>16.563199999999998</v>
      </c>
      <c r="E894">
        <v>22.296199999999999</v>
      </c>
      <c r="G894">
        <v>1.7413000000000001</v>
      </c>
      <c r="H894">
        <v>22.289300000000001</v>
      </c>
    </row>
    <row r="895" spans="1:8">
      <c r="A895">
        <v>9.2403099999999991</v>
      </c>
      <c r="B895">
        <v>22.7498</v>
      </c>
      <c r="D895">
        <v>16.485299999999999</v>
      </c>
      <c r="E895">
        <v>22.746200000000002</v>
      </c>
      <c r="G895">
        <v>1.7421199999999999</v>
      </c>
      <c r="H895">
        <v>22.7393</v>
      </c>
    </row>
    <row r="896" spans="1:8">
      <c r="A896">
        <v>9.2784999999999993</v>
      </c>
      <c r="B896">
        <v>23.1998</v>
      </c>
      <c r="D896">
        <v>16.412299999999998</v>
      </c>
      <c r="E896">
        <v>23.196200000000001</v>
      </c>
      <c r="G896">
        <v>1.7429300000000001</v>
      </c>
      <c r="H896">
        <v>23.189299999999999</v>
      </c>
    </row>
    <row r="897" spans="1:8">
      <c r="A897">
        <v>9.3149300000000004</v>
      </c>
      <c r="B897">
        <v>23.649799999999999</v>
      </c>
      <c r="D897">
        <v>16.3444</v>
      </c>
      <c r="E897">
        <v>23.6462</v>
      </c>
      <c r="G897">
        <v>1.7437400000000001</v>
      </c>
      <c r="H897">
        <v>23.639299999999999</v>
      </c>
    </row>
    <row r="898" spans="1:8">
      <c r="A898">
        <v>9.3503600000000002</v>
      </c>
      <c r="B898">
        <v>24.099799999999998</v>
      </c>
      <c r="D898">
        <v>16.2773</v>
      </c>
      <c r="E898">
        <v>24.0962</v>
      </c>
      <c r="G898">
        <v>1.7445600000000001</v>
      </c>
      <c r="H898">
        <v>24.089300000000001</v>
      </c>
    </row>
    <row r="899" spans="1:8">
      <c r="A899">
        <v>9.3849300000000007</v>
      </c>
      <c r="B899">
        <v>24.549800000000001</v>
      </c>
      <c r="D899">
        <v>16.213999999999999</v>
      </c>
      <c r="E899">
        <v>24.546199999999999</v>
      </c>
      <c r="G899">
        <v>1.7453700000000001</v>
      </c>
      <c r="H899">
        <v>24.539300000000001</v>
      </c>
    </row>
    <row r="900" spans="1:8">
      <c r="A900">
        <v>9.4183599999999998</v>
      </c>
      <c r="B900">
        <v>24.9998</v>
      </c>
      <c r="D900">
        <v>16.154399999999999</v>
      </c>
      <c r="E900">
        <v>24.996200000000002</v>
      </c>
      <c r="G900">
        <v>1.7461899999999999</v>
      </c>
      <c r="H900">
        <v>24.9893</v>
      </c>
    </row>
    <row r="901" spans="1:8">
      <c r="A901">
        <v>8.9669100000000004</v>
      </c>
      <c r="B901">
        <v>24.4998</v>
      </c>
      <c r="D901">
        <v>15.5677</v>
      </c>
      <c r="E901">
        <v>24.496200000000002</v>
      </c>
      <c r="G901">
        <v>1.3669100000000001</v>
      </c>
      <c r="H901">
        <v>24.4893</v>
      </c>
    </row>
    <row r="902" spans="1:8">
      <c r="A902">
        <v>8.5155899999999995</v>
      </c>
      <c r="B902">
        <v>23.9998</v>
      </c>
      <c r="D902">
        <v>14.9702</v>
      </c>
      <c r="E902">
        <v>23.996200000000002</v>
      </c>
      <c r="G902">
        <v>0.98852499999999999</v>
      </c>
      <c r="H902">
        <v>23.9893</v>
      </c>
    </row>
    <row r="903" spans="1:8">
      <c r="A903">
        <v>8.0647900000000003</v>
      </c>
      <c r="B903">
        <v>23.4998</v>
      </c>
      <c r="D903">
        <v>14.3637</v>
      </c>
      <c r="E903">
        <v>23.496200000000002</v>
      </c>
      <c r="G903">
        <v>0.61150400000000005</v>
      </c>
      <c r="H903">
        <v>23.4893</v>
      </c>
    </row>
    <row r="904" spans="1:8">
      <c r="A904">
        <v>7.6151799999999996</v>
      </c>
      <c r="B904">
        <v>22.9998</v>
      </c>
      <c r="D904">
        <v>13.7479</v>
      </c>
      <c r="E904">
        <v>22.996200000000002</v>
      </c>
      <c r="G904">
        <v>0.23483200000000001</v>
      </c>
      <c r="H904">
        <v>22.9893</v>
      </c>
    </row>
    <row r="905" spans="1:8">
      <c r="A905">
        <v>7.1651999999999996</v>
      </c>
      <c r="B905">
        <v>22.4998</v>
      </c>
      <c r="D905">
        <v>13.1258</v>
      </c>
      <c r="E905">
        <v>22.496200000000002</v>
      </c>
      <c r="G905">
        <v>-0.140763</v>
      </c>
      <c r="H905">
        <v>22.4893</v>
      </c>
    </row>
    <row r="906" spans="1:8">
      <c r="A906">
        <v>6.7150299999999996</v>
      </c>
      <c r="B906">
        <v>21.9998</v>
      </c>
      <c r="D906">
        <v>12.497</v>
      </c>
      <c r="E906">
        <v>21.996200000000002</v>
      </c>
      <c r="G906">
        <v>-0.514737</v>
      </c>
      <c r="H906">
        <v>21.9893</v>
      </c>
    </row>
    <row r="907" spans="1:8">
      <c r="A907">
        <v>6.2642300000000004</v>
      </c>
      <c r="B907">
        <v>21.4998</v>
      </c>
      <c r="D907">
        <v>11.860900000000001</v>
      </c>
      <c r="E907">
        <v>21.496200000000002</v>
      </c>
      <c r="G907">
        <v>-0.88855099999999998</v>
      </c>
      <c r="H907">
        <v>21.4893</v>
      </c>
    </row>
    <row r="908" spans="1:8">
      <c r="A908">
        <v>5.8125999999999998</v>
      </c>
      <c r="B908">
        <v>20.9998</v>
      </c>
      <c r="D908">
        <v>11.2204</v>
      </c>
      <c r="E908">
        <v>20.996200000000002</v>
      </c>
      <c r="G908">
        <v>-1.2623599999999999</v>
      </c>
      <c r="H908">
        <v>20.9893</v>
      </c>
    </row>
    <row r="909" spans="1:8">
      <c r="A909" s="1">
        <v>5.3602299999999996</v>
      </c>
      <c r="B909">
        <v>20.4998</v>
      </c>
      <c r="D909">
        <v>10.574</v>
      </c>
      <c r="E909">
        <v>20.496200000000002</v>
      </c>
      <c r="G909">
        <v>-1.63618</v>
      </c>
      <c r="H909">
        <v>20.4893</v>
      </c>
    </row>
    <row r="910" spans="1:8">
      <c r="A910">
        <v>4.9068800000000001</v>
      </c>
      <c r="B910">
        <v>19.9998</v>
      </c>
      <c r="D910">
        <v>9.9224499999999995</v>
      </c>
      <c r="E910">
        <v>19.996200000000002</v>
      </c>
      <c r="G910">
        <v>-1.8919900000000001</v>
      </c>
      <c r="H910">
        <v>19.9893</v>
      </c>
    </row>
    <row r="911" spans="1:8">
      <c r="A911">
        <v>4.45282</v>
      </c>
      <c r="B911">
        <v>19.4998</v>
      </c>
      <c r="D911">
        <v>9.2657299999999996</v>
      </c>
      <c r="E911">
        <v>19.496200000000002</v>
      </c>
      <c r="G911">
        <v>-1.9569099999999999</v>
      </c>
      <c r="H911">
        <v>19.4893</v>
      </c>
    </row>
    <row r="912" spans="1:8">
      <c r="A912">
        <v>3.99946</v>
      </c>
      <c r="B912">
        <v>18.9998</v>
      </c>
      <c r="D912">
        <v>8.6044300000000007</v>
      </c>
      <c r="E912">
        <v>18.996200000000002</v>
      </c>
      <c r="G912">
        <v>-2.0023</v>
      </c>
      <c r="H912">
        <v>18.9893</v>
      </c>
    </row>
    <row r="913" spans="1:8">
      <c r="A913">
        <v>3.5428999999999999</v>
      </c>
      <c r="B913">
        <v>18.4998</v>
      </c>
      <c r="D913">
        <v>7.9569000000000001</v>
      </c>
      <c r="E913">
        <v>18.496200000000002</v>
      </c>
      <c r="G913">
        <v>-2.0272800000000002</v>
      </c>
      <c r="H913">
        <v>18.4893</v>
      </c>
    </row>
    <row r="914" spans="1:8">
      <c r="A914">
        <v>3.0821200000000002</v>
      </c>
      <c r="B914">
        <v>17.9998</v>
      </c>
      <c r="D914">
        <v>7.3371500000000003</v>
      </c>
      <c r="E914">
        <v>17.996200000000002</v>
      </c>
      <c r="G914">
        <v>-2.0505499999999999</v>
      </c>
      <c r="H914">
        <v>17.9893</v>
      </c>
    </row>
    <row r="915" spans="1:8">
      <c r="A915">
        <v>2.61633</v>
      </c>
      <c r="B915">
        <v>17.4998</v>
      </c>
      <c r="D915">
        <v>6.7123100000000004</v>
      </c>
      <c r="E915">
        <v>17.496200000000002</v>
      </c>
      <c r="G915">
        <v>-2.0731099999999998</v>
      </c>
      <c r="H915">
        <v>17.4893</v>
      </c>
    </row>
    <row r="916" spans="1:8">
      <c r="A916">
        <v>2.1374200000000001</v>
      </c>
      <c r="B916">
        <v>16.9998</v>
      </c>
      <c r="D916">
        <v>6.0852500000000003</v>
      </c>
      <c r="E916">
        <v>16.996200000000002</v>
      </c>
      <c r="G916">
        <v>-2.0949599999999999</v>
      </c>
      <c r="H916">
        <v>16.9893</v>
      </c>
    </row>
    <row r="917" spans="1:8">
      <c r="A917">
        <v>1.6393800000000001</v>
      </c>
      <c r="B917">
        <v>16.4998</v>
      </c>
      <c r="D917">
        <v>5.4634499999999999</v>
      </c>
      <c r="E917">
        <v>16.496200000000002</v>
      </c>
      <c r="G917">
        <v>-2.1164499999999999</v>
      </c>
      <c r="H917">
        <v>16.4893</v>
      </c>
    </row>
    <row r="918" spans="1:8">
      <c r="A918">
        <v>1.139</v>
      </c>
      <c r="B918">
        <v>15.9998</v>
      </c>
      <c r="D918">
        <v>4.9051499999999999</v>
      </c>
      <c r="E918">
        <v>15.9962</v>
      </c>
      <c r="G918">
        <v>-2.1375000000000002</v>
      </c>
      <c r="H918">
        <v>15.9893</v>
      </c>
    </row>
    <row r="919" spans="1:8">
      <c r="A919">
        <v>0.58284599999999998</v>
      </c>
      <c r="B919">
        <v>15.4998</v>
      </c>
      <c r="D919">
        <v>4.3540700000000001</v>
      </c>
      <c r="E919">
        <v>15.4962</v>
      </c>
      <c r="G919">
        <v>-2.15822</v>
      </c>
      <c r="H919">
        <v>15.4893</v>
      </c>
    </row>
    <row r="920" spans="1:8">
      <c r="A920">
        <v>-2.0843200000000002E-3</v>
      </c>
      <c r="B920">
        <v>14.9998</v>
      </c>
      <c r="D920">
        <v>3.8025099999999998</v>
      </c>
      <c r="E920">
        <v>14.9962</v>
      </c>
      <c r="G920">
        <v>-2.1788099999999999</v>
      </c>
      <c r="H920">
        <v>14.9893</v>
      </c>
    </row>
    <row r="921" spans="1:8">
      <c r="A921">
        <v>-0.54432899999999995</v>
      </c>
      <c r="B921">
        <v>14.4998</v>
      </c>
      <c r="D921">
        <v>3.2482600000000001</v>
      </c>
      <c r="E921">
        <v>14.4962</v>
      </c>
      <c r="G921">
        <v>-2.19916</v>
      </c>
      <c r="H921">
        <v>14.4893</v>
      </c>
    </row>
    <row r="922" spans="1:8">
      <c r="A922">
        <v>-0.97753999999999996</v>
      </c>
      <c r="B922">
        <v>13.9998</v>
      </c>
      <c r="D922">
        <v>2.6888100000000001</v>
      </c>
      <c r="E922">
        <v>13.9962</v>
      </c>
      <c r="G922">
        <v>-2.2193399999999999</v>
      </c>
      <c r="H922">
        <v>13.9893</v>
      </c>
    </row>
    <row r="923" spans="1:8">
      <c r="A923">
        <v>-1.29016</v>
      </c>
      <c r="B923">
        <v>13.4998</v>
      </c>
      <c r="D923">
        <v>2.16526</v>
      </c>
      <c r="E923">
        <v>13.4962</v>
      </c>
      <c r="G923">
        <v>-2.2393700000000001</v>
      </c>
      <c r="H923">
        <v>13.4893</v>
      </c>
    </row>
    <row r="924" spans="1:8">
      <c r="A924">
        <v>-1.57683</v>
      </c>
      <c r="B924">
        <v>12.9998</v>
      </c>
      <c r="D924">
        <v>1.6894100000000001</v>
      </c>
      <c r="E924">
        <v>12.9962</v>
      </c>
      <c r="G924">
        <v>-2.2593399999999999</v>
      </c>
      <c r="H924">
        <v>12.9893</v>
      </c>
    </row>
    <row r="925" spans="1:8">
      <c r="A925">
        <v>-1.8526499999999999</v>
      </c>
      <c r="B925">
        <v>12.4998</v>
      </c>
      <c r="D925">
        <v>1.21149</v>
      </c>
      <c r="E925">
        <v>12.4962</v>
      </c>
      <c r="G925">
        <v>-2.2792699999999999</v>
      </c>
      <c r="H925">
        <v>12.4893</v>
      </c>
    </row>
    <row r="926" spans="1:8">
      <c r="A926">
        <v>-2.12263</v>
      </c>
      <c r="B926">
        <v>11.9998</v>
      </c>
      <c r="D926">
        <v>0.73458599999999996</v>
      </c>
      <c r="E926">
        <v>11.9962</v>
      </c>
      <c r="G926">
        <v>-2.2990599999999999</v>
      </c>
      <c r="H926">
        <v>11.9893</v>
      </c>
    </row>
    <row r="927" spans="1:8">
      <c r="A927">
        <v>-2.38903</v>
      </c>
      <c r="B927">
        <v>11.4998</v>
      </c>
      <c r="D927">
        <v>0.25870399999999999</v>
      </c>
      <c r="E927">
        <v>11.4962</v>
      </c>
      <c r="G927">
        <v>-2.31881</v>
      </c>
      <c r="H927">
        <v>11.4893</v>
      </c>
    </row>
    <row r="928" spans="1:8">
      <c r="A928">
        <v>-2.65246</v>
      </c>
      <c r="B928">
        <v>10.9998</v>
      </c>
      <c r="D928">
        <v>-0.18689</v>
      </c>
      <c r="E928">
        <v>10.9962</v>
      </c>
      <c r="G928">
        <v>-2.3384499999999999</v>
      </c>
      <c r="H928">
        <v>10.9893</v>
      </c>
    </row>
    <row r="929" spans="1:8">
      <c r="A929">
        <v>-2.9056299999999999</v>
      </c>
      <c r="B929">
        <v>10.4998</v>
      </c>
      <c r="D929">
        <v>-0.564944</v>
      </c>
      <c r="E929">
        <v>10.4962</v>
      </c>
      <c r="G929">
        <v>-2.35805</v>
      </c>
      <c r="H929">
        <v>10.4893</v>
      </c>
    </row>
    <row r="930" spans="1:8">
      <c r="A930">
        <v>-3.1464099999999999</v>
      </c>
      <c r="B930">
        <v>9.9998100000000001</v>
      </c>
      <c r="D930">
        <v>-0.95243199999999995</v>
      </c>
      <c r="E930">
        <v>9.9961699999999993</v>
      </c>
      <c r="G930">
        <v>-2.3776299999999999</v>
      </c>
      <c r="H930">
        <v>9.9892900000000004</v>
      </c>
    </row>
    <row r="931" spans="1:8">
      <c r="A931">
        <v>-3.3267899999999999</v>
      </c>
      <c r="B931">
        <v>9.4998100000000001</v>
      </c>
      <c r="D931">
        <v>-1.3364400000000001</v>
      </c>
      <c r="E931">
        <v>9.4961699999999993</v>
      </c>
      <c r="G931">
        <v>-2.3972000000000002</v>
      </c>
      <c r="H931">
        <v>9.4892900000000004</v>
      </c>
    </row>
    <row r="932" spans="1:8">
      <c r="A932">
        <v>-3.4699300000000002</v>
      </c>
      <c r="B932">
        <v>8.9998100000000001</v>
      </c>
      <c r="D932">
        <v>-1.71651</v>
      </c>
      <c r="E932">
        <v>8.9961699999999993</v>
      </c>
      <c r="G932">
        <v>-2.41675</v>
      </c>
      <c r="H932">
        <v>8.9892900000000004</v>
      </c>
    </row>
    <row r="933" spans="1:8">
      <c r="A933">
        <v>-3.5934900000000001</v>
      </c>
      <c r="B933">
        <v>8.4998100000000001</v>
      </c>
      <c r="D933">
        <v>-2.1010599999999999</v>
      </c>
      <c r="E933">
        <v>8.4961699999999993</v>
      </c>
      <c r="G933">
        <v>-2.4363000000000001</v>
      </c>
      <c r="H933">
        <v>8.4892900000000004</v>
      </c>
    </row>
    <row r="934" spans="1:8">
      <c r="A934">
        <v>-3.7122999999999999</v>
      </c>
      <c r="B934">
        <v>7.9998100000000001</v>
      </c>
      <c r="D934">
        <v>-2.4886499999999998</v>
      </c>
      <c r="E934">
        <v>7.9961700000000002</v>
      </c>
      <c r="G934">
        <v>-2.4540600000000001</v>
      </c>
      <c r="H934">
        <v>7.9892899999999996</v>
      </c>
    </row>
    <row r="935" spans="1:8">
      <c r="A935">
        <v>-3.8269299999999999</v>
      </c>
      <c r="B935">
        <v>7.4998100000000001</v>
      </c>
      <c r="D935">
        <v>-2.8583799999999999</v>
      </c>
      <c r="E935">
        <v>7.4961700000000002</v>
      </c>
      <c r="G935">
        <v>-2.4704299999999999</v>
      </c>
      <c r="H935">
        <v>7.4892899999999996</v>
      </c>
    </row>
    <row r="936" spans="1:8">
      <c r="A936">
        <v>-3.9156599999999999</v>
      </c>
      <c r="B936">
        <v>6.9998100000000001</v>
      </c>
      <c r="D936">
        <v>-3.2191800000000002</v>
      </c>
      <c r="E936">
        <v>6.9961700000000002</v>
      </c>
      <c r="G936">
        <v>-2.48638</v>
      </c>
      <c r="H936">
        <v>6.9892899999999996</v>
      </c>
    </row>
    <row r="937" spans="1:8">
      <c r="A937">
        <v>-3.9942600000000001</v>
      </c>
      <c r="B937">
        <v>6.4998100000000001</v>
      </c>
      <c r="D937">
        <v>-3.5889500000000001</v>
      </c>
      <c r="E937">
        <v>6.4961700000000002</v>
      </c>
      <c r="G937">
        <v>-2.50075</v>
      </c>
      <c r="H937">
        <v>6.4892899999999996</v>
      </c>
    </row>
    <row r="938" spans="1:8">
      <c r="A938">
        <v>-4.0728400000000002</v>
      </c>
      <c r="B938">
        <v>5.9998100000000001</v>
      </c>
      <c r="D938">
        <v>-3.9500099999999998</v>
      </c>
      <c r="E938">
        <v>5.9961700000000002</v>
      </c>
      <c r="G938">
        <v>-2.5047999999999999</v>
      </c>
      <c r="H938">
        <v>5.9892899999999996</v>
      </c>
    </row>
    <row r="939" spans="1:8">
      <c r="A939">
        <v>-4.1514100000000003</v>
      </c>
      <c r="B939">
        <v>5.4998100000000001</v>
      </c>
      <c r="D939">
        <v>-4.3005199999999997</v>
      </c>
      <c r="E939">
        <v>5.4961700000000002</v>
      </c>
      <c r="G939">
        <v>-2.50875</v>
      </c>
      <c r="H939">
        <v>5.4892899999999996</v>
      </c>
    </row>
    <row r="940" spans="1:8">
      <c r="A940">
        <v>-4.2299699999999998</v>
      </c>
      <c r="B940">
        <v>4.9998100000000001</v>
      </c>
      <c r="D940">
        <v>-4.6509200000000002</v>
      </c>
      <c r="E940">
        <v>4.9961700000000002</v>
      </c>
      <c r="G940">
        <v>-2.5127000000000002</v>
      </c>
      <c r="H940">
        <v>4.9892899999999996</v>
      </c>
    </row>
    <row r="941" spans="1:8">
      <c r="A941">
        <v>-4.3085100000000001</v>
      </c>
      <c r="B941">
        <v>4.4998100000000001</v>
      </c>
      <c r="D941">
        <v>-4.9985299999999997</v>
      </c>
      <c r="E941">
        <v>4.4961700000000002</v>
      </c>
      <c r="G941">
        <v>-2.5165299999999999</v>
      </c>
      <c r="H941">
        <v>4.4892899999999996</v>
      </c>
    </row>
    <row r="942" spans="1:8">
      <c r="A942">
        <v>-4.3850199999999999</v>
      </c>
      <c r="B942">
        <v>3.9998100000000001</v>
      </c>
      <c r="D942">
        <v>-5.3160400000000001</v>
      </c>
      <c r="E942">
        <v>3.9961700000000002</v>
      </c>
      <c r="G942">
        <v>-2.5202800000000001</v>
      </c>
      <c r="H942">
        <v>3.98929</v>
      </c>
    </row>
    <row r="943" spans="1:8">
      <c r="A943">
        <v>-4.4552300000000002</v>
      </c>
      <c r="B943">
        <v>3.4998100000000001</v>
      </c>
      <c r="D943">
        <v>-5.6271000000000004</v>
      </c>
      <c r="E943">
        <v>3.4961700000000002</v>
      </c>
      <c r="G943">
        <v>-2.5240200000000002</v>
      </c>
      <c r="H943">
        <v>3.48929</v>
      </c>
    </row>
    <row r="944" spans="1:8">
      <c r="A944">
        <v>-4.5254300000000001</v>
      </c>
      <c r="B944">
        <v>2.9998100000000001</v>
      </c>
      <c r="D944">
        <v>-5.9314099999999996</v>
      </c>
      <c r="E944">
        <v>2.9961700000000002</v>
      </c>
      <c r="G944">
        <v>-2.5277599999999998</v>
      </c>
      <c r="H944">
        <v>2.98929</v>
      </c>
    </row>
    <row r="945" spans="1:8">
      <c r="A945">
        <v>-4.57064</v>
      </c>
      <c r="B945">
        <v>2.4998100000000001</v>
      </c>
      <c r="D945">
        <v>-6.2456399999999999</v>
      </c>
      <c r="E945">
        <v>2.4961700000000002</v>
      </c>
      <c r="G945">
        <v>-2.5314999999999999</v>
      </c>
      <c r="H945">
        <v>2.48929</v>
      </c>
    </row>
    <row r="946" spans="1:8">
      <c r="A946">
        <v>-4.6104099999999999</v>
      </c>
      <c r="B946">
        <v>1.9998100000000001</v>
      </c>
      <c r="D946">
        <v>-6.5771899999999999</v>
      </c>
      <c r="E946">
        <v>1.99617</v>
      </c>
      <c r="G946">
        <v>-2.5352399999999999</v>
      </c>
      <c r="H946">
        <v>1.98929</v>
      </c>
    </row>
    <row r="947" spans="1:8">
      <c r="A947">
        <v>-4.6461699999999997</v>
      </c>
      <c r="B947">
        <v>1.4998100000000001</v>
      </c>
      <c r="D947">
        <v>-6.9096299999999999</v>
      </c>
      <c r="E947">
        <v>1.49617</v>
      </c>
      <c r="G947">
        <v>-2.5386299999999999</v>
      </c>
      <c r="H947">
        <v>1.48929</v>
      </c>
    </row>
    <row r="948" spans="1:8">
      <c r="A948">
        <v>-4.6735800000000003</v>
      </c>
      <c r="B948">
        <v>0.99981200000000003</v>
      </c>
      <c r="D948">
        <v>-7.2544300000000002</v>
      </c>
      <c r="E948">
        <v>0.99616700000000002</v>
      </c>
      <c r="G948">
        <v>-2.5419800000000001</v>
      </c>
      <c r="H948">
        <v>0.98929199999999995</v>
      </c>
    </row>
    <row r="949" spans="1:8">
      <c r="A949">
        <v>-4.6931799999999999</v>
      </c>
      <c r="B949">
        <v>0.49981199999999998</v>
      </c>
      <c r="D949">
        <v>-7.6188000000000002</v>
      </c>
      <c r="E949">
        <v>0.49616700000000002</v>
      </c>
      <c r="G949">
        <v>-2.5453399999999999</v>
      </c>
      <c r="H949">
        <v>0.489292</v>
      </c>
    </row>
    <row r="950" spans="1:8">
      <c r="A950">
        <v>-4.7085499999999998</v>
      </c>
      <c r="B950">
        <v>-1.8810300000000001E-4</v>
      </c>
      <c r="D950">
        <f>-8.0051</f>
        <v>-8.0051000000000005</v>
      </c>
      <c r="E950">
        <v>-3.83271E-3</v>
      </c>
      <c r="G950">
        <v>-2.5480200000000002</v>
      </c>
      <c r="H950">
        <v>-1.0707599999999999E-2</v>
      </c>
    </row>
    <row r="951" spans="1:8">
      <c r="A951">
        <v>-4.7233200000000002</v>
      </c>
      <c r="B951">
        <v>-0.50018799999999997</v>
      </c>
      <c r="D951">
        <f>-8.39927</f>
        <v>-8.3992699999999996</v>
      </c>
      <c r="E951">
        <v>-0.50383299999999998</v>
      </c>
      <c r="G951">
        <v>-2.5505300000000002</v>
      </c>
      <c r="H951">
        <v>-0.51070800000000005</v>
      </c>
    </row>
    <row r="952" spans="1:8">
      <c r="A952">
        <v>-4.7371999999999996</v>
      </c>
      <c r="B952">
        <v>-1.0001899999999999</v>
      </c>
      <c r="D952">
        <f>-8.81902</f>
        <v>-8.8190200000000001</v>
      </c>
      <c r="E952">
        <v>-1.00383</v>
      </c>
      <c r="G952">
        <v>-2.5530400000000002</v>
      </c>
      <c r="H952">
        <v>-1.01071</v>
      </c>
    </row>
    <row r="953" spans="1:8">
      <c r="A953">
        <v>-4.7497100000000003</v>
      </c>
      <c r="B953">
        <v>-1.5001899999999999</v>
      </c>
      <c r="D953">
        <f>-9.25659</f>
        <v>-9.2565899999999992</v>
      </c>
      <c r="E953">
        <v>-1.50383</v>
      </c>
      <c r="G953">
        <v>-2.5555500000000002</v>
      </c>
      <c r="H953">
        <v>-1.51071</v>
      </c>
    </row>
    <row r="954" spans="1:8">
      <c r="A954">
        <v>-4.7622200000000001</v>
      </c>
      <c r="B954">
        <v>-2.0001899999999999</v>
      </c>
      <c r="D954">
        <f>-9.69929</f>
        <v>-9.6992899999999995</v>
      </c>
      <c r="E954">
        <v>-2.0038299999999998</v>
      </c>
      <c r="G954">
        <v>-2.5580699999999998</v>
      </c>
      <c r="H954">
        <v>-2.01071</v>
      </c>
    </row>
    <row r="955" spans="1:8">
      <c r="A955">
        <v>-4.7747299999999999</v>
      </c>
      <c r="B955">
        <v>-2.5001899999999999</v>
      </c>
      <c r="D955">
        <f>-10.1594</f>
        <v>-10.1594</v>
      </c>
      <c r="E955">
        <v>-2.5038299999999998</v>
      </c>
      <c r="G955">
        <v>-2.5605799999999999</v>
      </c>
      <c r="H955">
        <v>-2.51071</v>
      </c>
    </row>
    <row r="956" spans="1:8">
      <c r="A956">
        <v>-4.7872399999999997</v>
      </c>
      <c r="B956">
        <v>-3.0001899999999999</v>
      </c>
      <c r="D956">
        <f>-10.6384</f>
        <v>-10.638400000000001</v>
      </c>
      <c r="E956">
        <v>-3.0038299999999998</v>
      </c>
      <c r="G956">
        <v>-2.5629599999999999</v>
      </c>
      <c r="H956">
        <v>-3.01071</v>
      </c>
    </row>
    <row r="957" spans="1:8">
      <c r="A957">
        <v>-4.7997500000000004</v>
      </c>
      <c r="B957">
        <v>-3.5001899999999999</v>
      </c>
      <c r="D957">
        <f>-11.1262</f>
        <v>-11.126200000000001</v>
      </c>
      <c r="E957">
        <v>-3.5038299999999998</v>
      </c>
      <c r="G957">
        <v>-2.5649000000000002</v>
      </c>
      <c r="H957">
        <v>-3.51071</v>
      </c>
    </row>
    <row r="958" spans="1:8">
      <c r="A958">
        <v>-4.8122699999999998</v>
      </c>
      <c r="B958">
        <v>-4.0001899999999999</v>
      </c>
      <c r="D958">
        <f>-11.6041</f>
        <v>-11.604100000000001</v>
      </c>
      <c r="E958">
        <v>-4.0038299999999998</v>
      </c>
      <c r="G958">
        <v>-2.56684</v>
      </c>
      <c r="H958">
        <v>-4.0107100000000004</v>
      </c>
    </row>
    <row r="959" spans="1:8">
      <c r="A959">
        <v>-4.8247799999999996</v>
      </c>
      <c r="B959">
        <v>-4.5001899999999999</v>
      </c>
      <c r="D959">
        <f>-12.0863</f>
        <v>-12.0863</v>
      </c>
      <c r="E959">
        <v>-4.5038299999999998</v>
      </c>
      <c r="G959">
        <v>-2.5687799999999998</v>
      </c>
      <c r="H959">
        <v>-4.5107100000000004</v>
      </c>
    </row>
    <row r="960" spans="1:8">
      <c r="A960">
        <v>-4.8372900000000003</v>
      </c>
      <c r="B960">
        <v>-5.0001899999999999</v>
      </c>
      <c r="D960">
        <f>-12.5641</f>
        <v>-12.5641</v>
      </c>
      <c r="E960">
        <v>-5.0038299999999998</v>
      </c>
      <c r="G960">
        <v>-2.5707100000000001</v>
      </c>
      <c r="H960">
        <v>-5.0107100000000004</v>
      </c>
    </row>
    <row r="961" spans="1:8">
      <c r="A961">
        <v>-4.8494900000000003</v>
      </c>
      <c r="B961">
        <v>-5.5001899999999999</v>
      </c>
      <c r="D961">
        <f>-13.0272</f>
        <v>-13.027200000000001</v>
      </c>
      <c r="E961">
        <v>-5.5038299999999998</v>
      </c>
      <c r="G961">
        <v>-2.5726100000000001</v>
      </c>
      <c r="H961">
        <v>-5.5107100000000004</v>
      </c>
    </row>
    <row r="962" spans="1:8">
      <c r="A962">
        <v>-4.8601599999999996</v>
      </c>
      <c r="B962">
        <v>-6.0001899999999999</v>
      </c>
      <c r="D962">
        <f>-13.4554</f>
        <v>-13.455399999999999</v>
      </c>
      <c r="E962">
        <v>-6.0038299999999998</v>
      </c>
      <c r="G962">
        <v>-2.5745</v>
      </c>
      <c r="H962">
        <v>-6.0107100000000004</v>
      </c>
    </row>
    <row r="963" spans="1:8">
      <c r="A963">
        <v>-4.8675600000000001</v>
      </c>
      <c r="B963">
        <v>-6.5001899999999999</v>
      </c>
      <c r="D963">
        <f>-13.837</f>
        <v>-13.837</v>
      </c>
      <c r="E963">
        <v>-6.5038299999999998</v>
      </c>
      <c r="G963">
        <v>-2.57639</v>
      </c>
      <c r="H963">
        <v>-6.5107100000000004</v>
      </c>
    </row>
    <row r="964" spans="1:8">
      <c r="A964">
        <v>-4.86911</v>
      </c>
      <c r="B964">
        <v>-7.0001899999999999</v>
      </c>
      <c r="D964">
        <f>-14.1868</f>
        <v>-14.1868</v>
      </c>
      <c r="E964">
        <v>-7.0038299999999998</v>
      </c>
      <c r="G964">
        <v>-2.5782799999999999</v>
      </c>
      <c r="H964">
        <v>-7.0107100000000004</v>
      </c>
    </row>
    <row r="965" spans="1:8">
      <c r="A965">
        <v>-4.8701400000000001</v>
      </c>
      <c r="B965">
        <v>-7.5001899999999999</v>
      </c>
      <c r="D965">
        <f>-14.5057</f>
        <v>-14.505699999999999</v>
      </c>
      <c r="E965">
        <v>-7.5038299999999998</v>
      </c>
      <c r="G965">
        <v>-2.5801699999999999</v>
      </c>
      <c r="H965">
        <v>-7.5107100000000004</v>
      </c>
    </row>
    <row r="966" spans="1:8">
      <c r="A966">
        <v>-4.8740600000000001</v>
      </c>
      <c r="B966">
        <v>-8.0001899999999999</v>
      </c>
      <c r="D966">
        <f>-14.7995</f>
        <v>-14.7995</v>
      </c>
      <c r="E966">
        <v>-8.0038300000000007</v>
      </c>
      <c r="G966">
        <v>-2.5820500000000002</v>
      </c>
      <c r="H966">
        <v>-8.0107099999999996</v>
      </c>
    </row>
    <row r="967" spans="1:8">
      <c r="A967">
        <v>-4.8955700000000002</v>
      </c>
      <c r="B967">
        <v>-8.5001899999999999</v>
      </c>
      <c r="D967">
        <f>-15.0815</f>
        <v>-15.0815</v>
      </c>
      <c r="E967">
        <v>-8.5038300000000007</v>
      </c>
      <c r="G967">
        <v>-2.5839300000000001</v>
      </c>
      <c r="H967">
        <v>-8.5107099999999996</v>
      </c>
    </row>
    <row r="968" spans="1:8">
      <c r="A968">
        <v>-4.9341999999999997</v>
      </c>
      <c r="B968">
        <v>-9.0001899999999999</v>
      </c>
      <c r="D968">
        <f>-15.3533</f>
        <v>-15.353300000000001</v>
      </c>
      <c r="E968">
        <v>-9.0038300000000007</v>
      </c>
      <c r="G968">
        <v>-2.5857999999999999</v>
      </c>
      <c r="H968">
        <v>-9.0107099999999996</v>
      </c>
    </row>
    <row r="969" spans="1:8">
      <c r="A969">
        <v>-4.98386</v>
      </c>
      <c r="B969">
        <v>-9.5001899999999999</v>
      </c>
      <c r="D969">
        <f>-15.6108</f>
        <v>-15.610799999999999</v>
      </c>
      <c r="E969">
        <v>-9.5038300000000007</v>
      </c>
      <c r="G969">
        <v>-2.5876800000000002</v>
      </c>
      <c r="H969">
        <v>-9.5107099999999996</v>
      </c>
    </row>
    <row r="970" spans="1:8">
      <c r="A970">
        <v>-5.03505</v>
      </c>
      <c r="B970">
        <v>-10.0002</v>
      </c>
      <c r="D970">
        <f>-15.854</f>
        <v>-15.853999999999999</v>
      </c>
      <c r="E970">
        <v>-10.0038</v>
      </c>
      <c r="G970">
        <v>-2.58955</v>
      </c>
      <c r="H970">
        <v>-10.0107</v>
      </c>
    </row>
    <row r="971" spans="1:8">
      <c r="A971">
        <v>-5.0869600000000004</v>
      </c>
      <c r="B971">
        <v>-10.5002</v>
      </c>
      <c r="D971">
        <f>-16.0918</f>
        <v>-16.091799999999999</v>
      </c>
      <c r="E971">
        <v>-10.5038</v>
      </c>
      <c r="G971">
        <v>-2.5914199999999998</v>
      </c>
      <c r="H971">
        <v>-10.5107</v>
      </c>
    </row>
    <row r="972" spans="1:8">
      <c r="A972">
        <v>-5.1396899999999999</v>
      </c>
      <c r="B972">
        <v>-11.0002</v>
      </c>
      <c r="D972">
        <f>-16.3251</f>
        <v>-16.325099999999999</v>
      </c>
      <c r="E972">
        <v>-11.0038</v>
      </c>
      <c r="G972">
        <v>-2.59328</v>
      </c>
      <c r="H972">
        <v>-11.0107</v>
      </c>
    </row>
    <row r="973" spans="1:8">
      <c r="A973">
        <v>-5.1934199999999997</v>
      </c>
      <c r="B973">
        <v>-11.5002</v>
      </c>
      <c r="D973">
        <f>-16.5469</f>
        <v>-16.546900000000001</v>
      </c>
      <c r="E973">
        <v>-11.5038</v>
      </c>
      <c r="G973">
        <v>-2.5951499999999998</v>
      </c>
      <c r="H973">
        <v>-11.5107</v>
      </c>
    </row>
    <row r="974" spans="1:8">
      <c r="A974">
        <v>-5.2255500000000001</v>
      </c>
      <c r="B974">
        <v>-12.0002</v>
      </c>
      <c r="D974">
        <f>-16.7439</f>
        <v>-16.7439</v>
      </c>
      <c r="E974">
        <v>-12.0038</v>
      </c>
      <c r="G974">
        <v>-2.5970200000000001</v>
      </c>
      <c r="H974">
        <v>-12.0107</v>
      </c>
    </row>
    <row r="975" spans="1:8">
      <c r="A975">
        <v>-5.2306499999999998</v>
      </c>
      <c r="B975">
        <v>-12.5002</v>
      </c>
      <c r="D975">
        <f>-16.9318</f>
        <v>-16.931799999999999</v>
      </c>
      <c r="E975">
        <v>-12.5038</v>
      </c>
      <c r="G975">
        <v>-2.5988799999999999</v>
      </c>
      <c r="H975">
        <v>-12.5107</v>
      </c>
    </row>
    <row r="976" spans="1:8">
      <c r="A976">
        <v>-5.2357699999999996</v>
      </c>
      <c r="B976">
        <v>-13.0002</v>
      </c>
      <c r="D976">
        <f>-17.1172</f>
        <v>-17.1172</v>
      </c>
      <c r="E976">
        <v>-13.0038</v>
      </c>
      <c r="G976">
        <v>-2.6007400000000001</v>
      </c>
      <c r="H976">
        <v>-13.0107</v>
      </c>
    </row>
    <row r="977" spans="1:8">
      <c r="A977">
        <v>-5.2500099999999996</v>
      </c>
      <c r="B977">
        <v>-13.5002</v>
      </c>
      <c r="D977">
        <f>-17.2997</f>
        <v>-17.299700000000001</v>
      </c>
      <c r="E977">
        <v>-13.5038</v>
      </c>
      <c r="G977">
        <v>-2.6025999999999998</v>
      </c>
      <c r="H977">
        <v>-13.5107</v>
      </c>
    </row>
    <row r="978" spans="1:8">
      <c r="A978">
        <v>-5.3430600000000004</v>
      </c>
      <c r="B978">
        <v>-14.0002</v>
      </c>
      <c r="D978">
        <f>-17.4789</f>
        <v>-17.478899999999999</v>
      </c>
      <c r="E978">
        <v>-14.0038</v>
      </c>
      <c r="G978">
        <v>-2.60446</v>
      </c>
      <c r="H978">
        <v>-14.0107</v>
      </c>
    </row>
    <row r="979" spans="1:8">
      <c r="A979">
        <v>-5.4240599999999999</v>
      </c>
      <c r="B979">
        <v>-14.5002</v>
      </c>
      <c r="D979">
        <f>-17.6514</f>
        <v>-17.651399999999999</v>
      </c>
      <c r="E979">
        <v>-14.5038</v>
      </c>
      <c r="G979">
        <v>-2.6063100000000001</v>
      </c>
      <c r="H979">
        <v>-14.5107</v>
      </c>
    </row>
    <row r="980" spans="1:8">
      <c r="A980">
        <v>-5.5046299999999997</v>
      </c>
      <c r="B980">
        <v>-15.0002</v>
      </c>
      <c r="D980">
        <f>-17.8215</f>
        <v>-17.8215</v>
      </c>
      <c r="E980">
        <v>-15.0038</v>
      </c>
      <c r="G980">
        <v>-2.6081699999999999</v>
      </c>
      <c r="H980">
        <v>-15.0107</v>
      </c>
    </row>
    <row r="981" spans="1:8">
      <c r="A981">
        <v>-5.5861299999999998</v>
      </c>
      <c r="B981">
        <v>-15.5002</v>
      </c>
      <c r="D981">
        <f>-17.9509</f>
        <v>-17.950900000000001</v>
      </c>
      <c r="E981">
        <v>-15.5038</v>
      </c>
      <c r="G981">
        <v>-2.61002</v>
      </c>
      <c r="H981">
        <v>-15.5107</v>
      </c>
    </row>
    <row r="982" spans="1:8">
      <c r="A982">
        <v>-5.6685400000000001</v>
      </c>
      <c r="B982">
        <v>-16.0002</v>
      </c>
      <c r="D982">
        <f>-18.0628</f>
        <v>-18.062799999999999</v>
      </c>
      <c r="E982">
        <v>-16.003799999999998</v>
      </c>
      <c r="G982">
        <v>-2.6118700000000001</v>
      </c>
      <c r="H982">
        <v>-16.0107</v>
      </c>
    </row>
    <row r="983" spans="1:8">
      <c r="A983">
        <v>-5.7518399999999996</v>
      </c>
      <c r="B983">
        <v>-16.5002</v>
      </c>
      <c r="D983">
        <f>-18.1727</f>
        <v>-18.172699999999999</v>
      </c>
      <c r="E983">
        <v>-16.503799999999998</v>
      </c>
      <c r="G983">
        <v>-2.6137199999999998</v>
      </c>
      <c r="H983">
        <v>-16.5107</v>
      </c>
    </row>
    <row r="984" spans="1:8">
      <c r="A984">
        <v>-5.8360799999999999</v>
      </c>
      <c r="B984">
        <v>-17.0002</v>
      </c>
      <c r="D984">
        <f>-18.2811</f>
        <v>-18.281099999999999</v>
      </c>
      <c r="E984">
        <v>-17.003799999999998</v>
      </c>
      <c r="G984">
        <v>-2.61557</v>
      </c>
      <c r="H984">
        <v>-17.0107</v>
      </c>
    </row>
    <row r="985" spans="1:8">
      <c r="A985">
        <v>-5.9207999999999998</v>
      </c>
      <c r="B985">
        <v>-17.5002</v>
      </c>
      <c r="D985">
        <f>-18.3875</f>
        <v>-18.387499999999999</v>
      </c>
      <c r="E985">
        <v>-17.503799999999998</v>
      </c>
      <c r="G985">
        <v>-2.6174300000000001</v>
      </c>
      <c r="H985">
        <v>-17.5107</v>
      </c>
    </row>
    <row r="986" spans="1:8">
      <c r="A986">
        <v>-6.0057200000000002</v>
      </c>
      <c r="B986">
        <v>-18.0002</v>
      </c>
      <c r="D986">
        <f>-18.4882</f>
        <v>-18.488199999999999</v>
      </c>
      <c r="E986">
        <v>-18.003799999999998</v>
      </c>
      <c r="G986">
        <v>-2.6192799999999998</v>
      </c>
      <c r="H986">
        <v>-18.0107</v>
      </c>
    </row>
    <row r="987" spans="1:8">
      <c r="A987">
        <v>-6.0904199999999999</v>
      </c>
      <c r="B987">
        <v>-18.5002</v>
      </c>
      <c r="D987">
        <f>-18.585</f>
        <v>-18.585000000000001</v>
      </c>
      <c r="E987">
        <v>-18.503799999999998</v>
      </c>
      <c r="G987">
        <v>-2.6211199999999999</v>
      </c>
      <c r="H987">
        <v>-18.5107</v>
      </c>
    </row>
    <row r="988" spans="1:8">
      <c r="A988">
        <v>-6.1565099999999999</v>
      </c>
      <c r="B988">
        <v>-19.0002</v>
      </c>
      <c r="D988">
        <f>-18.6766</f>
        <v>-18.676600000000001</v>
      </c>
      <c r="E988">
        <v>-19.003799999999998</v>
      </c>
      <c r="G988">
        <v>-2.62297</v>
      </c>
      <c r="H988">
        <v>-19.0107</v>
      </c>
    </row>
    <row r="989" spans="1:8">
      <c r="A989">
        <v>-6.1980899999999997</v>
      </c>
      <c r="B989">
        <v>-19.5002</v>
      </c>
      <c r="D989">
        <f>-18.7368</f>
        <v>-18.736799999999999</v>
      </c>
      <c r="E989">
        <v>-19.503799999999998</v>
      </c>
      <c r="G989">
        <v>-2.6248200000000002</v>
      </c>
      <c r="H989">
        <v>-19.5107</v>
      </c>
    </row>
    <row r="990" spans="1:8">
      <c r="A990">
        <v>-6.22485</v>
      </c>
      <c r="B990">
        <v>-20.0002</v>
      </c>
      <c r="D990">
        <f>-18.7221</f>
        <v>-18.722100000000001</v>
      </c>
      <c r="E990">
        <v>-20.003799999999998</v>
      </c>
      <c r="G990">
        <v>-2.6266600000000002</v>
      </c>
      <c r="H990">
        <v>-20.0107</v>
      </c>
    </row>
    <row r="991" spans="1:8">
      <c r="A991">
        <v>-6.2493499999999997</v>
      </c>
      <c r="B991">
        <v>-20.5002</v>
      </c>
      <c r="D991">
        <f>-18.6977</f>
        <v>-18.697700000000001</v>
      </c>
      <c r="E991">
        <v>-20.503799999999998</v>
      </c>
      <c r="G991">
        <v>-2.6285099999999999</v>
      </c>
      <c r="H991">
        <v>-20.5107</v>
      </c>
    </row>
    <row r="992" spans="1:8">
      <c r="A992">
        <v>-6.2738399999999999</v>
      </c>
      <c r="B992">
        <v>-21.0002</v>
      </c>
      <c r="D992">
        <f>-18.6678</f>
        <v>-18.6678</v>
      </c>
      <c r="E992">
        <v>-21.003799999999998</v>
      </c>
      <c r="G992">
        <v>-2.63035</v>
      </c>
      <c r="H992">
        <v>-21.0107</v>
      </c>
    </row>
    <row r="993" spans="1:8">
      <c r="A993">
        <v>-6.2983099999999999</v>
      </c>
      <c r="B993">
        <v>-21.5002</v>
      </c>
      <c r="D993">
        <f>-18.6354</f>
        <v>-18.635400000000001</v>
      </c>
      <c r="E993">
        <v>-21.503799999999998</v>
      </c>
      <c r="G993">
        <v>-2.6322000000000001</v>
      </c>
      <c r="H993">
        <v>-21.5107</v>
      </c>
    </row>
    <row r="994" spans="1:8">
      <c r="A994">
        <v>-6.3226300000000002</v>
      </c>
      <c r="B994">
        <v>-22.0002</v>
      </c>
      <c r="D994">
        <f>-18.6014</f>
        <v>-18.601400000000002</v>
      </c>
      <c r="E994">
        <v>-22.003799999999998</v>
      </c>
      <c r="G994">
        <v>-2.6340499999999998</v>
      </c>
      <c r="H994">
        <v>-22.0107</v>
      </c>
    </row>
    <row r="995" spans="1:8">
      <c r="A995">
        <v>-6.3464799999999997</v>
      </c>
      <c r="B995">
        <v>-22.5002</v>
      </c>
      <c r="D995">
        <f>-18.5657</f>
        <v>-18.5657</v>
      </c>
      <c r="E995">
        <v>-22.503799999999998</v>
      </c>
      <c r="G995">
        <v>-2.6358899999999998</v>
      </c>
      <c r="H995">
        <v>-22.5107</v>
      </c>
    </row>
    <row r="996" spans="1:8">
      <c r="A996">
        <v>-6.3702199999999998</v>
      </c>
      <c r="B996">
        <v>-23.0002</v>
      </c>
      <c r="D996">
        <f>-18.5255</f>
        <v>-18.525500000000001</v>
      </c>
      <c r="E996">
        <v>-23.003799999999998</v>
      </c>
      <c r="G996">
        <v>-2.6377299999999999</v>
      </c>
      <c r="H996">
        <v>-23.0107</v>
      </c>
    </row>
    <row r="997" spans="1:8">
      <c r="A997">
        <v>-6.3939199999999996</v>
      </c>
      <c r="B997">
        <v>-23.5002</v>
      </c>
      <c r="D997">
        <f>-18.4817</f>
        <v>-18.4817</v>
      </c>
      <c r="E997">
        <v>-23.503799999999998</v>
      </c>
      <c r="G997">
        <v>-2.63958</v>
      </c>
      <c r="H997">
        <v>-23.5107</v>
      </c>
    </row>
    <row r="998" spans="1:8">
      <c r="A998">
        <v>-6.4175899999999997</v>
      </c>
      <c r="B998">
        <v>-24.0002</v>
      </c>
      <c r="D998">
        <f>-18.4343</f>
        <v>-18.4343</v>
      </c>
      <c r="E998">
        <v>-24.003799999999998</v>
      </c>
      <c r="G998">
        <v>-2.6414200000000001</v>
      </c>
      <c r="H998">
        <v>-24.0107</v>
      </c>
    </row>
    <row r="999" spans="1:8">
      <c r="A999">
        <v>-6.4411899999999997</v>
      </c>
      <c r="B999">
        <v>-24.5002</v>
      </c>
      <c r="D999">
        <f>-18.3816</f>
        <v>-18.381599999999999</v>
      </c>
      <c r="E999">
        <v>-24.503799999999998</v>
      </c>
      <c r="G999">
        <v>-2.6432600000000002</v>
      </c>
      <c r="H999">
        <v>-24.5107</v>
      </c>
    </row>
    <row r="1000" spans="1:8">
      <c r="A1000">
        <v>-6.4646600000000003</v>
      </c>
      <c r="B1000">
        <v>-25.0002</v>
      </c>
      <c r="D1000">
        <f>-18.3217</f>
        <v>-18.3217</v>
      </c>
      <c r="E1000">
        <v>-25.003799999999998</v>
      </c>
      <c r="G1000">
        <v>-2.6450999999999998</v>
      </c>
      <c r="H1000">
        <v>-25.0107</v>
      </c>
    </row>
  </sheetData>
  <phoneticPr fontId="18" type="noConversion"/>
  <pageMargins left="0.7" right="0.7" top="0.75" bottom="0.75" header="0.3" footer="0.3"/>
  <pageSetup paperSize="9"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20EC3-7936-46EA-90D4-C76270CFB58B}">
  <dimension ref="B1:C62"/>
  <sheetViews>
    <sheetView workbookViewId="0">
      <selection activeCell="S23" sqref="S23"/>
    </sheetView>
  </sheetViews>
  <sheetFormatPr defaultRowHeight="15.75"/>
  <sheetData>
    <row r="1" spans="2:3">
      <c r="B1">
        <v>-3336.25</v>
      </c>
      <c r="C1">
        <v>0</v>
      </c>
    </row>
    <row r="2" spans="2:3">
      <c r="B2">
        <v>-1752.385</v>
      </c>
      <c r="C2">
        <v>900.38199999999995</v>
      </c>
    </row>
    <row r="3" spans="2:3">
      <c r="B3">
        <v>-1365.0409999999999</v>
      </c>
      <c r="C3">
        <v>1084.933</v>
      </c>
    </row>
    <row r="4" spans="2:3">
      <c r="B4">
        <v>-719.57</v>
      </c>
      <c r="C4">
        <v>1386.127</v>
      </c>
    </row>
    <row r="5" spans="2:3">
      <c r="B5">
        <v>538.48699999999997</v>
      </c>
      <c r="C5">
        <v>1945.498</v>
      </c>
    </row>
    <row r="6" spans="2:3">
      <c r="B6">
        <v>3461.3809999999999</v>
      </c>
      <c r="C6">
        <v>3046.0050000000001</v>
      </c>
    </row>
    <row r="7" spans="2:3">
      <c r="B7">
        <v>9294.9009999999998</v>
      </c>
      <c r="C7">
        <v>4495.5450000000001</v>
      </c>
    </row>
    <row r="8" spans="2:3">
      <c r="B8">
        <v>14971.648999999999</v>
      </c>
      <c r="C8">
        <v>4861.2889999999998</v>
      </c>
    </row>
    <row r="9" spans="2:3">
      <c r="B9">
        <v>18673.151000000002</v>
      </c>
      <c r="C9">
        <v>4463.018</v>
      </c>
    </row>
    <row r="10" spans="2:3">
      <c r="B10">
        <v>21239.42</v>
      </c>
      <c r="C10">
        <v>3938.0810000000001</v>
      </c>
    </row>
    <row r="11" spans="2:3">
      <c r="B11">
        <v>23125.476999999999</v>
      </c>
      <c r="C11">
        <v>3439.4250000000002</v>
      </c>
    </row>
    <row r="12" spans="2:3">
      <c r="B12">
        <v>24587.611000000001</v>
      </c>
      <c r="C12">
        <v>3000.6909999999998</v>
      </c>
    </row>
    <row r="13" spans="2:3">
      <c r="B13">
        <v>25770.61</v>
      </c>
      <c r="C13">
        <v>2622.2449999999999</v>
      </c>
    </row>
    <row r="14" spans="2:3">
      <c r="B14">
        <v>26761.618999999999</v>
      </c>
      <c r="C14">
        <v>2296.4250000000002</v>
      </c>
    </row>
    <row r="15" spans="2:3">
      <c r="B15">
        <v>27609.258000000002</v>
      </c>
      <c r="C15">
        <v>2014.136</v>
      </c>
    </row>
    <row r="16" spans="2:3">
      <c r="B16">
        <v>28341.18</v>
      </c>
      <c r="C16">
        <v>1767.3720000000001</v>
      </c>
    </row>
    <row r="17" spans="2:3">
      <c r="B17">
        <v>28978.417000000001</v>
      </c>
      <c r="C17">
        <v>1549.9469999999999</v>
      </c>
    </row>
    <row r="18" spans="2:3">
      <c r="B18">
        <v>29537.288</v>
      </c>
      <c r="C18">
        <v>1357.018</v>
      </c>
    </row>
    <row r="19" spans="2:3">
      <c r="B19">
        <v>30030.704000000002</v>
      </c>
      <c r="C19">
        <v>1184.741</v>
      </c>
    </row>
    <row r="20" spans="2:3">
      <c r="B20">
        <v>30463.212</v>
      </c>
      <c r="C20">
        <v>1029.8340000000001</v>
      </c>
    </row>
    <row r="21" spans="2:3">
      <c r="B21">
        <v>30847.519</v>
      </c>
      <c r="C21">
        <v>890.00199999999995</v>
      </c>
    </row>
    <row r="22" spans="2:3">
      <c r="B22">
        <v>31191.401999999998</v>
      </c>
      <c r="C22">
        <v>763.221</v>
      </c>
    </row>
    <row r="23" spans="2:3">
      <c r="B23">
        <v>31500.305</v>
      </c>
      <c r="C23">
        <v>647.77800000000002</v>
      </c>
    </row>
    <row r="24" spans="2:3">
      <c r="B24">
        <v>31778.714</v>
      </c>
      <c r="C24">
        <v>542.24800000000005</v>
      </c>
    </row>
    <row r="25" spans="2:3">
      <c r="B25">
        <v>32029.205999999998</v>
      </c>
      <c r="C25">
        <v>445.416</v>
      </c>
    </row>
    <row r="26" spans="2:3">
      <c r="B26">
        <v>32255.241999999998</v>
      </c>
      <c r="C26">
        <v>356.28199999999998</v>
      </c>
    </row>
    <row r="27" spans="2:3">
      <c r="B27">
        <v>32458.34</v>
      </c>
      <c r="C27">
        <v>273.98099999999999</v>
      </c>
    </row>
    <row r="28" spans="2:3">
      <c r="B28">
        <v>32637.754000000001</v>
      </c>
      <c r="C28">
        <v>197.76900000000001</v>
      </c>
    </row>
    <row r="29" spans="2:3">
      <c r="B29">
        <v>32798.160000000003</v>
      </c>
      <c r="C29">
        <v>127.05</v>
      </c>
    </row>
    <row r="30" spans="2:3">
      <c r="B30">
        <v>32940.953999999998</v>
      </c>
      <c r="C30">
        <v>61.283999999999999</v>
      </c>
    </row>
    <row r="31" spans="2:3">
      <c r="B31">
        <v>32940.364000000001</v>
      </c>
      <c r="C31">
        <v>0</v>
      </c>
    </row>
    <row r="32" spans="2:3">
      <c r="B32">
        <v>32940.364000000001</v>
      </c>
      <c r="C32">
        <v>0</v>
      </c>
    </row>
    <row r="33" spans="2:3">
      <c r="B33">
        <v>32825.040000000001</v>
      </c>
      <c r="C33">
        <v>-58.796999999999997</v>
      </c>
    </row>
    <row r="34" spans="2:3">
      <c r="B34">
        <v>32688.625</v>
      </c>
      <c r="C34">
        <v>-121.917</v>
      </c>
    </row>
    <row r="35" spans="2:3">
      <c r="B35">
        <v>32533.239000000001</v>
      </c>
      <c r="C35">
        <v>-189.80500000000001</v>
      </c>
    </row>
    <row r="36" spans="2:3">
      <c r="B36">
        <v>32360.133999999998</v>
      </c>
      <c r="C36">
        <v>-262.995</v>
      </c>
    </row>
    <row r="37" spans="2:3">
      <c r="B37">
        <v>32166.993999999999</v>
      </c>
      <c r="C37">
        <v>-342.09500000000003</v>
      </c>
    </row>
    <row r="38" spans="2:3">
      <c r="B38">
        <v>31951.871999999999</v>
      </c>
      <c r="C38">
        <v>-427.81700000000001</v>
      </c>
    </row>
    <row r="39" spans="2:3">
      <c r="B39">
        <v>31709.030999999999</v>
      </c>
      <c r="C39">
        <v>-520.93899999999996</v>
      </c>
    </row>
    <row r="40" spans="2:3">
      <c r="B40">
        <v>31436.728999999999</v>
      </c>
      <c r="C40">
        <v>-622.43100000000004</v>
      </c>
    </row>
    <row r="41" spans="2:3">
      <c r="B41">
        <v>31133.934000000001</v>
      </c>
      <c r="C41">
        <v>-733.48599999999999</v>
      </c>
    </row>
    <row r="42" spans="2:3">
      <c r="B42">
        <v>30796.131000000001</v>
      </c>
      <c r="C42">
        <v>-855.47900000000004</v>
      </c>
    </row>
    <row r="43" spans="2:3">
      <c r="B43">
        <v>30417.873</v>
      </c>
      <c r="C43">
        <v>-990.06299999999999</v>
      </c>
    </row>
    <row r="44" spans="2:3">
      <c r="B44">
        <v>29992.478999999999</v>
      </c>
      <c r="C44">
        <v>-1139.2329999999999</v>
      </c>
    </row>
    <row r="45" spans="2:3">
      <c r="B45">
        <v>29511.724999999999</v>
      </c>
      <c r="C45">
        <v>-1305.425</v>
      </c>
    </row>
    <row r="46" spans="2:3">
      <c r="B46">
        <v>28965.456999999999</v>
      </c>
      <c r="C46">
        <v>-1491.644</v>
      </c>
    </row>
    <row r="47" spans="2:3">
      <c r="B47">
        <v>28340.883999999998</v>
      </c>
      <c r="C47">
        <v>-1701.6320000000001</v>
      </c>
    </row>
    <row r="48" spans="2:3">
      <c r="B48">
        <v>27621.734</v>
      </c>
      <c r="C48">
        <v>-1940.114</v>
      </c>
    </row>
    <row r="49" spans="2:3">
      <c r="B49">
        <v>26783.35</v>
      </c>
      <c r="C49">
        <v>-2212.826</v>
      </c>
    </row>
    <row r="50" spans="2:3">
      <c r="B50">
        <v>25789.543000000001</v>
      </c>
      <c r="C50">
        <v>-2526.5889999999999</v>
      </c>
    </row>
    <row r="51" spans="2:3">
      <c r="B51">
        <v>24599.199000000001</v>
      </c>
      <c r="C51">
        <v>-2890.4690000000001</v>
      </c>
    </row>
    <row r="52" spans="2:3">
      <c r="B52">
        <v>23122.492999999999</v>
      </c>
      <c r="C52">
        <v>-3311.0990000000002</v>
      </c>
    </row>
    <row r="53" spans="2:3">
      <c r="B53">
        <v>21218.129000000001</v>
      </c>
      <c r="C53">
        <v>-3787.8389999999999</v>
      </c>
    </row>
    <row r="54" spans="2:3">
      <c r="B54">
        <v>18682.243999999999</v>
      </c>
      <c r="C54">
        <v>-4299.1480000000001</v>
      </c>
    </row>
    <row r="55" spans="2:3">
      <c r="B55">
        <v>15237.977000000001</v>
      </c>
      <c r="C55">
        <v>-4763.7780000000002</v>
      </c>
    </row>
    <row r="56" spans="2:3">
      <c r="B56">
        <v>10218.084999999999</v>
      </c>
      <c r="C56">
        <v>-4758.2740000000003</v>
      </c>
    </row>
    <row r="57" spans="2:3">
      <c r="B57">
        <v>3781.1559999999999</v>
      </c>
      <c r="C57">
        <v>-3203.6729999999998</v>
      </c>
    </row>
    <row r="58" spans="2:3">
      <c r="B58">
        <v>547.37</v>
      </c>
      <c r="C58">
        <v>-1904.0540000000001</v>
      </c>
    </row>
    <row r="59" spans="2:3">
      <c r="B59">
        <v>-707.09100000000001</v>
      </c>
      <c r="C59">
        <v>-1311.4369999999999</v>
      </c>
    </row>
    <row r="60" spans="2:3">
      <c r="B60">
        <v>-1322.431</v>
      </c>
      <c r="C60">
        <v>-1011.981</v>
      </c>
    </row>
    <row r="61" spans="2:3">
      <c r="B61">
        <v>-1686.672</v>
      </c>
      <c r="C61">
        <v>-834.39200000000005</v>
      </c>
    </row>
    <row r="62" spans="2:3">
      <c r="B62">
        <v>-3336.25</v>
      </c>
      <c r="C62">
        <v>0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</vt:lpstr>
      <vt:lpstr>PMM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2021-08-26T07:15:23Z</dcterms:created>
  <dcterms:modified xsi:type="dcterms:W3CDTF">2021-08-29T17:32:36Z</dcterms:modified>
</cp:coreProperties>
</file>